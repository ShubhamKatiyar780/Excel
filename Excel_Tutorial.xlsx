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katiy\Downloads\"/>
    </mc:Choice>
  </mc:AlternateContent>
  <xr:revisionPtr revIDLastSave="0" documentId="13_ncr:1_{410FAE7F-D935-4B56-8847-7BDA91EF580C}" xr6:coauthVersionLast="47" xr6:coauthVersionMax="47" xr10:uidLastSave="{00000000-0000-0000-0000-000000000000}"/>
  <bookViews>
    <workbookView xWindow="-108" yWindow="-108" windowWidth="23256" windowHeight="12456" xr2:uid="{3F433CD8-600A-4E7A-8EDF-A5C3E9706BDA}"/>
  </bookViews>
  <sheets>
    <sheet name="Sheet1" sheetId="1" r:id="rId1"/>
    <sheet name="Pivot" sheetId="8" r:id="rId2"/>
  </sheets>
  <definedNames>
    <definedName name="Slicer_Payment_Mode">#N/A</definedName>
  </definedNames>
  <calcPr calcId="191029"/>
  <pivotCaches>
    <pivotCache cacheId="3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4" i="1" l="1"/>
  <c r="D43" i="1"/>
  <c r="P4" i="1"/>
  <c r="O4" i="1"/>
  <c r="N4" i="1"/>
  <c r="M4" i="1"/>
  <c r="L4" i="1"/>
  <c r="K4" i="1"/>
  <c r="G39" i="1"/>
  <c r="C38" i="1"/>
  <c r="D38" i="1" s="1"/>
  <c r="B38" i="1"/>
  <c r="K38" i="1" s="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H4" i="1"/>
  <c r="G5" i="1"/>
  <c r="G4"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H5" i="1"/>
  <c r="H6" i="1"/>
  <c r="H7" i="1"/>
  <c r="H8" i="1"/>
  <c r="H9" i="1"/>
  <c r="H10" i="1"/>
  <c r="H11" i="1"/>
  <c r="H12" i="1"/>
  <c r="H13" i="1"/>
  <c r="H14" i="1"/>
  <c r="D45" i="1" s="1"/>
  <c r="H15" i="1"/>
  <c r="H16" i="1"/>
  <c r="H17" i="1"/>
  <c r="H18" i="1"/>
  <c r="H19" i="1"/>
  <c r="H20" i="1"/>
  <c r="H21" i="1"/>
  <c r="H22" i="1"/>
  <c r="H23" i="1"/>
  <c r="H24" i="1"/>
  <c r="H25" i="1"/>
  <c r="H26" i="1"/>
  <c r="H27" i="1"/>
  <c r="H28" i="1"/>
  <c r="H29" i="1"/>
  <c r="H30" i="1"/>
  <c r="H31" i="1"/>
  <c r="H32" i="1"/>
  <c r="H33" i="1"/>
  <c r="H34" i="1"/>
  <c r="A38" i="1" l="1"/>
  <c r="L38" i="1"/>
  <c r="J38" i="1"/>
  <c r="I38" i="1"/>
  <c r="H38" i="1"/>
  <c r="F38" i="1"/>
  <c r="E38" i="1"/>
</calcChain>
</file>

<file path=xl/sharedStrings.xml><?xml version="1.0" encoding="utf-8"?>
<sst xmlns="http://schemas.openxmlformats.org/spreadsheetml/2006/main" count="130" uniqueCount="54">
  <si>
    <t>Date</t>
  </si>
  <si>
    <t>Category</t>
  </si>
  <si>
    <t>Sub-Category</t>
  </si>
  <si>
    <t>Amount</t>
  </si>
  <si>
    <t>Payment Mode</t>
  </si>
  <si>
    <t>Food</t>
  </si>
  <si>
    <t>Zomato</t>
  </si>
  <si>
    <t>UPI</t>
  </si>
  <si>
    <t>Bills</t>
  </si>
  <si>
    <t>Cylinder</t>
  </si>
  <si>
    <t>Card</t>
  </si>
  <si>
    <t>Clothes</t>
  </si>
  <si>
    <t>Dress</t>
  </si>
  <si>
    <t>Cash</t>
  </si>
  <si>
    <t>Essentials</t>
  </si>
  <si>
    <t>Salt and Sugar</t>
  </si>
  <si>
    <t>Dairy</t>
  </si>
  <si>
    <t>Food Oil</t>
  </si>
  <si>
    <t>Chai</t>
  </si>
  <si>
    <t>Grocery</t>
  </si>
  <si>
    <t>Bread and Milk</t>
  </si>
  <si>
    <t>Chocolate</t>
  </si>
  <si>
    <t>Fruits and Veggies</t>
  </si>
  <si>
    <t>January Month Expensives</t>
  </si>
  <si>
    <t>Pant</t>
  </si>
  <si>
    <t>T-Shirt</t>
  </si>
  <si>
    <t>Shoes</t>
  </si>
  <si>
    <t>Room Rant</t>
  </si>
  <si>
    <t>Condition</t>
  </si>
  <si>
    <t>If</t>
  </si>
  <si>
    <t>Or</t>
  </si>
  <si>
    <t>And</t>
  </si>
  <si>
    <t>date</t>
  </si>
  <si>
    <t>day</t>
  </si>
  <si>
    <t>todey</t>
  </si>
  <si>
    <t>now</t>
  </si>
  <si>
    <t>month</t>
  </si>
  <si>
    <t>year</t>
  </si>
  <si>
    <t>hours</t>
  </si>
  <si>
    <t>seconds</t>
  </si>
  <si>
    <t>minutes</t>
  </si>
  <si>
    <t>date + 3 months</t>
  </si>
  <si>
    <t>date + 3 years</t>
  </si>
  <si>
    <t>date + 13 days</t>
  </si>
  <si>
    <t>Sum</t>
  </si>
  <si>
    <t>Sumifs</t>
  </si>
  <si>
    <t>Sumif</t>
  </si>
  <si>
    <t>Count</t>
  </si>
  <si>
    <t>Countif</t>
  </si>
  <si>
    <t>Countifs</t>
  </si>
  <si>
    <t>XLOOKUP</t>
  </si>
  <si>
    <t>Row Labels</t>
  </si>
  <si>
    <t>Grand Total</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</si>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</sst>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4" x14ac:knownFonts="1">
    <font>
      <sz val="11"/>
      <color theme="1"/>
      <name val="Calibri"/>
      <family val="2"/>
      <scheme val="minor"/>
    </font>
    <font>
      <sz val="11"/>
      <color theme="1"/>
      <name val="Calibri"/>
      <family val="2"/>
      <scheme val="minor"/>
    </font>
    <font>
      <b/>
      <sz val="24"/>
      <color theme="0"/>
      <name val="Calibri"/>
      <family val="2"/>
      <scheme val="minor"/>
    </font>
    <font>
      <b/>
      <sz val="12"/>
      <color theme="1"/>
      <name val="Calibri"/>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14" fontId="0" fillId="0" borderId="0" xfId="0" applyNumberFormat="1"/>
    <xf numFmtId="0" fontId="0" fillId="0" borderId="0" xfId="0" applyAlignment="1">
      <alignment horizontal="center"/>
    </xf>
    <xf numFmtId="0" fontId="3" fillId="0" borderId="0" xfId="0" applyFont="1"/>
    <xf numFmtId="0" fontId="3" fillId="0" borderId="0" xfId="0" applyFont="1" applyAlignment="1">
      <alignment horizontal="center"/>
    </xf>
    <xf numFmtId="14" fontId="0" fillId="0" borderId="0" xfId="0" applyNumberFormat="1" applyAlignment="1">
      <alignment horizontal="center"/>
    </xf>
    <xf numFmtId="164" fontId="3" fillId="0" borderId="0" xfId="0" applyNumberFormat="1" applyFont="1" applyAlignment="1">
      <alignment horizontal="center"/>
    </xf>
    <xf numFmtId="164" fontId="0" fillId="0" borderId="0" xfId="0" applyNumberFormat="1" applyAlignment="1">
      <alignment horizontal="center"/>
    </xf>
    <xf numFmtId="164" fontId="0" fillId="0" borderId="0" xfId="1" applyNumberFormat="1" applyFont="1" applyAlignment="1">
      <alignment horizontal="center"/>
    </xf>
    <xf numFmtId="22" fontId="0" fillId="0" borderId="0" xfId="0" applyNumberFormat="1" applyAlignment="1">
      <alignment horizontal="center"/>
    </xf>
    <xf numFmtId="22" fontId="0" fillId="0" borderId="0" xfId="0" applyNumberFormat="1"/>
    <xf numFmtId="2" fontId="0" fillId="0" borderId="0" xfId="0" applyNumberFormat="1" applyAlignment="1">
      <alignment horizontal="center"/>
    </xf>
    <xf numFmtId="0" fontId="2" fillId="2" borderId="0" xfId="0" applyFont="1" applyFill="1" applyAlignment="1">
      <alignment horizontal="center" vertical="center"/>
    </xf>
    <xf numFmtId="0" fontId="0" fillId="0" borderId="0" xfId="0" applyFont="1" applyAlignment="1">
      <alignment horizontal="center"/>
    </xf>
    <xf numFmtId="0" fontId="0" fillId="0" borderId="0" xfId="0" pivotButton="1"/>
    <xf numFmtId="0" fontId="0" fillId="0" borderId="0" xfId="0" applyAlignment="1">
      <alignment horizontal="left"/>
    </xf>
    <xf numFmtId="164" fontId="0" fillId="0" borderId="0" xfId="0" applyNumberFormat="1"/>
  </cellXfs>
  <cellStyles count="2">
    <cellStyle name="Normal" xfId="0" builtinId="0"/>
    <cellStyle name="Percent" xfId="1" builtinId="5"/>
  </cellStyles>
  <dxfs count="56">
    <dxf>
      <font>
        <color rgb="FF9C0006"/>
      </font>
    </dxf>
    <dxf>
      <font>
        <color rgb="FF006100"/>
      </font>
      <fill>
        <patternFill>
          <bgColor rgb="FFC6EFCE"/>
        </patternFill>
      </fill>
    </dxf>
    <dxf>
      <font>
        <color rgb="FF9C0006"/>
      </font>
      <fill>
        <patternFill>
          <bgColor rgb="FFFFC7CE"/>
        </patternFill>
      </fill>
    </dxf>
    <dxf>
      <fill>
        <patternFill>
          <bgColor theme="7" tint="0.79998168889431442"/>
        </patternFill>
      </fill>
    </dxf>
    <dxf>
      <fill>
        <patternFill>
          <bgColor rgb="FF00B0F0"/>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7" tint="0.79998168889431442"/>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7" tint="0.79998168889431442"/>
        </patternFill>
      </fill>
    </dxf>
    <dxf>
      <fill>
        <patternFill>
          <bgColor rgb="FF00B0F0"/>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164" formatCode="_ [$₹-4009]\ * #,##0.00_ ;_ [$₹-4009]\ * \-#,##0.00_ ;_ [$₹-4009]\ * &quot;-&quot;??_ ;_ @_ "/>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alignment horizontal="center" textRotation="0" wrapText="0" indent="0" justifyLastLine="0" shrinkToFit="0" readingOrder="0"/>
    </dxf>
    <dxf>
      <numFmt numFmtId="164" formatCode="_ [$₹-4009]\ * #,##0.00_ ;_ [$₹-4009]\ * \-#,##0.00_ ;_ [$₹-4009]\ * &quot;-&quot;??_ ;_ @_ "/>
      <alignment horizontal="center" vertical="bottom"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9" formatCode="m/d/yyyy"/>
      <alignment horizontal="center" textRotation="0" wrapText="0" indent="0" justifyLastLine="0" shrinkToFit="0" readingOrder="0"/>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[Excel_Tutorial.xlsx]Pivot!PivotTable12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solidFill>
              <a:schemeClr val="accent1"/>
            </a:solidFill>
            <a:ln>
              <a:noFill/>
            </a:ln>
            <a:effectLst/>
            <a:sp3d/>
          </c:spPr>
          <c:invertIfNegative val="0"/>
          <c:cat>
            <c:strRef>
              <c:f>Pivot!$A$4:$A$8</c:f>
              <c:strCache>
                <c:ptCount val="4"/>
                <c:pt idx="0">
                  <c:v>Bills</c:v>
                </c:pt>
                <c:pt idx="1">
                  <c:v>Clothes</c:v>
                </c:pt>
                <c:pt idx="2">
                  <c:v>Essentials</c:v>
                </c:pt>
                <c:pt idx="3">
                  <c:v>Food</c:v>
                </c:pt>
              </c:strCache>
            </c:strRef>
          </c:cat>
          <c:val>
            <c:numRef>
              <c:f>Pivot!$B$4:$B$8</c:f>
              <c:numCache>
                <c:formatCode>_ [$₹-4009]\ * #,##0.00_ ;_ [$₹-4009]\ * \-#,##0.00_ ;_ [$₹-4009]\ * "-"??_ ;_ @_ </c:formatCode>
                <c:ptCount val="4"/>
                <c:pt idx="0">
                  <c:v>8545</c:v>
                </c:pt>
                <c:pt idx="1">
                  <c:v>6000</c:v>
                </c:pt>
                <c:pt idx="2">
                  <c:v>2721</c:v>
                </c:pt>
                <c:pt idx="3">
                  <c:v>7314</c:v>
                </c:pt>
              </c:numCache>
            </c:numRef>
          </c:val>
          <c:extLst>
            <c:ext xmlns:c16="http://schemas.microsoft.com/office/drawing/2014/chart" uri="{C3380CC4-5D6E-409C-BE32-E72D297353CC}">
              <c16:uniqueId val="{00000000-8CB8-4E1C-99B9-EE66B37D53E0}"/>
            </c:ext>
          </c:extLst>
        </c:ser>
        <c:dLbls>
          <c:showLegendKey val="0"/>
          <c:showVal val="0"/>
          <c:showCatName val="0"/>
          <c:showSerName val="0"/>
          <c:showPercent val="0"/>
          <c:showBubbleSize val="0"/>
        </c:dLbls>
        <c:gapWidth val="150"/>
        <c:shape val="box"/>
        <c:axId val="1773136831"/>
        <c:axId val="1773136351"/>
        <c:axId val="0"/>
      </c:bar3DChart>
      <c:catAx>
        <c:axId val="1773136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136351"/>
        <c:crosses val="autoZero"/>
        <c:auto val="1"/>
        <c:lblAlgn val="ctr"/>
        <c:lblOffset val="100"/>
        <c:noMultiLvlLbl val="0"/>
      </c:catAx>
      <c:valAx>
        <c:axId val="1773136351"/>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13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Pivot!A1"/></Relationships>
</file>

<file path=xl/drawings/_rels/drawing2.xml.rels><?xml version="1.0" encoding="UTF-8" standalone="yes"?>
<Relationships xmlns="http://schemas.openxmlformats.org/package/2006/relationships"><Relationship Id="rId2" Type="http://schemas.openxmlformats.org/officeDocument/2006/relationships/hyperlink" Target="#Sheet1!A1"/><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967740</xdr:colOff>
      <xdr:row>0</xdr:row>
      <xdr:rowOff>15240</xdr:rowOff>
    </xdr:from>
    <xdr:to>
      <xdr:col>9</xdr:col>
      <xdr:colOff>1013460</xdr:colOff>
      <xdr:row>0</xdr:row>
      <xdr:rowOff>541020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05D87F2-A03D-8CAA-654D-52E330626027}"/>
            </a:ext>
          </a:extLst>
        </xdr:cNvPr>
        <xdr:cNvSpPr/>
      </xdr:nvSpPr>
      <xdr:spPr>
        <a:xfrm>
          <a:off x="8420100" y="15240"/>
          <a:ext cx="1021080" cy="52578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Pivot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xdr:colOff>
      <xdr:row>2</xdr:row>
      <xdr:rowOff>1</xdr:rowOff>
    </xdr:from>
    <xdr:to>
      <xdr:col>6</xdr:col>
      <xdr:colOff>7620</xdr:colOff>
      <xdr:row>8</xdr:row>
      <xdr:rowOff>7621</xdr:rowOff>
    </xdr:to>
    <mc:AlternateContent xmlns:mc="http://schemas.openxmlformats.org/markup-compatibility/2006">
      <mc:Choice xmlns:a14="http://schemas.microsoft.com/office/drawing/2010/main" Requires="a14">
        <xdr:graphicFrame macro="">
          <xdr:nvGraphicFramePr>
            <xdr:cNvPr id="2" name="Payment Mode">
              <a:extLst>
                <a:ext uri="{FF2B5EF4-FFF2-40B4-BE49-F238E27FC236}">
                  <a16:creationId xmlns:a16="http://schemas.microsoft.com/office/drawing/2014/main" id="{6B7BC045-71B3-4BFB-DE6C-065B5EFEC638}"/>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2468880" y="365761"/>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7620</xdr:colOff>
      <xdr:row>2</xdr:row>
      <xdr:rowOff>3810</xdr:rowOff>
    </xdr:from>
    <xdr:to>
      <xdr:col>13</xdr:col>
      <xdr:colOff>373380</xdr:colOff>
      <xdr:row>14</xdr:row>
      <xdr:rowOff>160020</xdr:rowOff>
    </xdr:to>
    <xdr:graphicFrame macro="">
      <xdr:nvGraphicFramePr>
        <xdr:cNvPr id="3" name="Chart 2">
          <a:extLst>
            <a:ext uri="{FF2B5EF4-FFF2-40B4-BE49-F238E27FC236}">
              <a16:creationId xmlns:a16="http://schemas.microsoft.com/office/drawing/2014/main" id="{D9358CF6-E540-F0E7-36D4-7AC529E8B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853440</xdr:colOff>
      <xdr:row>11</xdr:row>
      <xdr:rowOff>7620</xdr:rowOff>
    </xdr:from>
    <xdr:to>
      <xdr:col>1</xdr:col>
      <xdr:colOff>982980</xdr:colOff>
      <xdr:row>13</xdr:row>
      <xdr:rowOff>22860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8A201F0B-FD61-7E4A-D5A7-63F76E83A403}"/>
            </a:ext>
          </a:extLst>
        </xdr:cNvPr>
        <xdr:cNvSpPr/>
      </xdr:nvSpPr>
      <xdr:spPr>
        <a:xfrm>
          <a:off x="853440" y="2019300"/>
          <a:ext cx="990600" cy="38100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Sheet1</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Katiyar" refreshedDate="46084.787379050926" createdVersion="8" refreshedVersion="8" minRefreshableVersion="3" recordCount="31" xr:uid="{EF667747-4F25-4373-8094-485F7BCAFA2D}">
  <cacheSource type="worksheet">
    <worksheetSource name="Table2"/>
  </cacheSource>
  <cacheFields count="15">
    <cacheField name="Date" numFmtId="14">
      <sharedItems containsSemiMixedTypes="0" containsNonDate="0" containsDate="1" containsString="0" minDate="2023-01-01T00:00:00" maxDate="2023-02-01T00:00:00"/>
    </cacheField>
    <cacheField name="Category" numFmtId="0">
      <sharedItems count="4">
        <s v="Bills"/>
        <s v="Clothes"/>
        <s v="Essentials"/>
        <s v="Food"/>
      </sharedItems>
    </cacheField>
    <cacheField name="Sub-Category" numFmtId="0">
      <sharedItems/>
    </cacheField>
    <cacheField name="Amount" numFmtId="164">
      <sharedItems containsSemiMixedTypes="0" containsString="0" containsNumber="1" containsInteger="1" minValue="20" maxValue="5000"/>
    </cacheField>
    <cacheField name="Payment Mode" numFmtId="0">
      <sharedItems count="3">
        <s v="Cash"/>
        <s v="UPI"/>
        <s v="Card"/>
      </sharedItems>
    </cacheField>
    <cacheField name="Condition" numFmtId="0">
      <sharedItems/>
    </cacheField>
    <cacheField name="If" numFmtId="0">
      <sharedItems/>
    </cacheField>
    <cacheField name="And" numFmtId="0">
      <sharedItems/>
    </cacheField>
    <cacheField name="Or" numFmtId="0">
      <sharedItems/>
    </cacheField>
    <cacheField name="Sum" numFmtId="0">
      <sharedItems containsString="0" containsBlank="1" containsNumber="1" containsInteger="1" minValue="24580" maxValue="24580"/>
    </cacheField>
    <cacheField name="Sumif" numFmtId="0">
      <sharedItems containsString="0" containsBlank="1" containsNumber="1" containsInteger="1" minValue="10394" maxValue="10394"/>
    </cacheField>
    <cacheField name="Sumifs" numFmtId="0">
      <sharedItems containsString="0" containsBlank="1" containsNumber="1" containsInteger="1" minValue="75" maxValue="75"/>
    </cacheField>
    <cacheField name="Count" numFmtId="0">
      <sharedItems containsString="0" containsBlank="1" containsNumber="1" containsInteger="1" minValue="31" maxValue="31"/>
    </cacheField>
    <cacheField name="Countif" numFmtId="0">
      <sharedItems containsString="0" containsBlank="1" containsNumber="1" containsInteger="1" minValue="5" maxValue="5"/>
    </cacheField>
    <cacheField name="Countifs" numFmtId="0">
      <sharedItems containsString="0" containsBlank="1" containsNumber="1" containsInteger="1" minValue="4" maxValue="4"/>
    </cacheField>
  </cacheFields>
  <extLst>
    <ext xmlns:x14="http://schemas.microsoft.com/office/spreadsheetml/2009/9/main" uri="{725AE2AE-9491-48be-B2B4-4EB974FC3084}">
      <x14:pivotCacheDefinition pivotCacheId="1733629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d v="2023-01-23T00:00:00"/>
    <x v="0"/>
    <s v="Bread and Milk"/>
    <n v="45"/>
    <x v="0"/>
    <s v="Below"/>
    <s v="No Bonus"/>
    <s v="No"/>
    <s v="No"/>
    <n v="24580"/>
    <n v="10394"/>
    <n v="75"/>
    <n v="31"/>
    <n v="5"/>
    <n v="4"/>
  </r>
  <r>
    <d v="2023-01-10T00:00:00"/>
    <x v="0"/>
    <s v="Bread and Milk"/>
    <n v="60"/>
    <x v="1"/>
    <s v="Below"/>
    <s v="No Bonus"/>
    <s v="No"/>
    <s v="No"/>
    <m/>
    <m/>
    <m/>
    <m/>
    <m/>
    <m/>
  </r>
  <r>
    <d v="2023-01-06T00:00:00"/>
    <x v="0"/>
    <s v="Food Oil"/>
    <n v="180"/>
    <x v="1"/>
    <s v="Below"/>
    <s v="No Bonus"/>
    <s v="No"/>
    <s v="No"/>
    <m/>
    <m/>
    <m/>
    <m/>
    <m/>
    <m/>
  </r>
  <r>
    <d v="2023-01-13T00:00:00"/>
    <x v="0"/>
    <s v="Fruits and Veggies"/>
    <n v="200"/>
    <x v="0"/>
    <s v="Below"/>
    <s v="No Bonus"/>
    <s v="No"/>
    <s v="No"/>
    <m/>
    <m/>
    <m/>
    <m/>
    <m/>
    <m/>
  </r>
  <r>
    <d v="2023-01-27T00:00:00"/>
    <x v="0"/>
    <s v="Zomato"/>
    <n v="456"/>
    <x v="2"/>
    <s v="Below"/>
    <s v="No Bonus"/>
    <s v="No"/>
    <s v="Yes"/>
    <m/>
    <m/>
    <m/>
    <m/>
    <m/>
    <m/>
  </r>
  <r>
    <d v="2023-01-19T00:00:00"/>
    <x v="0"/>
    <s v="Food Oil"/>
    <n v="750"/>
    <x v="0"/>
    <s v="Above"/>
    <s v="No Bonus"/>
    <s v="No"/>
    <s v="No"/>
    <m/>
    <m/>
    <m/>
    <m/>
    <m/>
    <m/>
  </r>
  <r>
    <d v="2023-01-30T00:00:00"/>
    <x v="0"/>
    <s v="Salt and Sugar"/>
    <n v="780"/>
    <x v="1"/>
    <s v="Above"/>
    <s v="No Bonus"/>
    <s v="No"/>
    <s v="No"/>
    <m/>
    <m/>
    <m/>
    <m/>
    <m/>
    <m/>
  </r>
  <r>
    <d v="2023-01-02T00:00:00"/>
    <x v="0"/>
    <s v="Cylinder"/>
    <n v="1074"/>
    <x v="2"/>
    <s v="Above"/>
    <s v="Bonus"/>
    <s v="Cylinder Booked"/>
    <s v="Yes"/>
    <m/>
    <m/>
    <m/>
    <m/>
    <m/>
    <m/>
  </r>
  <r>
    <d v="2023-01-16T00:00:00"/>
    <x v="0"/>
    <s v="Room Rant"/>
    <n v="5000"/>
    <x v="1"/>
    <s v="Above"/>
    <s v="Bonus"/>
    <s v="No"/>
    <s v="No"/>
    <m/>
    <m/>
    <m/>
    <m/>
    <m/>
    <m/>
  </r>
  <r>
    <d v="2023-01-20T00:00:00"/>
    <x v="1"/>
    <s v="T-Shirt"/>
    <n v="750"/>
    <x v="1"/>
    <s v="Above"/>
    <s v="No Bonus"/>
    <s v="No"/>
    <s v="No"/>
    <m/>
    <m/>
    <m/>
    <m/>
    <m/>
    <m/>
  </r>
  <r>
    <d v="2023-01-24T00:00:00"/>
    <x v="1"/>
    <s v="Pant"/>
    <n v="1550"/>
    <x v="0"/>
    <s v="Above"/>
    <s v="Bonus"/>
    <s v="No"/>
    <s v="No"/>
    <m/>
    <m/>
    <m/>
    <m/>
    <m/>
    <m/>
  </r>
  <r>
    <d v="2023-01-07T00:00:00"/>
    <x v="1"/>
    <s v="Shoes"/>
    <n v="1700"/>
    <x v="2"/>
    <s v="Above"/>
    <s v="Bonus"/>
    <s v="No"/>
    <s v="Yes"/>
    <m/>
    <m/>
    <m/>
    <m/>
    <m/>
    <m/>
  </r>
  <r>
    <d v="2023-01-03T00:00:00"/>
    <x v="1"/>
    <s v="Dress"/>
    <n v="2000"/>
    <x v="0"/>
    <s v="Above"/>
    <s v="Bonus"/>
    <s v="No"/>
    <s v="No"/>
    <m/>
    <m/>
    <m/>
    <m/>
    <m/>
    <m/>
  </r>
  <r>
    <d v="2023-01-21T00:00:00"/>
    <x v="2"/>
    <s v="Chai"/>
    <n v="20"/>
    <x v="1"/>
    <s v="Below"/>
    <s v="No Bonus"/>
    <s v="No"/>
    <s v="No"/>
    <m/>
    <m/>
    <m/>
    <m/>
    <m/>
    <m/>
  </r>
  <r>
    <d v="2023-01-08T00:00:00"/>
    <x v="2"/>
    <s v="Chai"/>
    <n v="40"/>
    <x v="0"/>
    <s v="Below"/>
    <s v="No Bonus"/>
    <s v="No"/>
    <s v="No"/>
    <m/>
    <m/>
    <m/>
    <m/>
    <m/>
    <m/>
  </r>
  <r>
    <d v="2023-01-04T00:00:00"/>
    <x v="2"/>
    <s v="Salt and Sugar"/>
    <n v="75"/>
    <x v="0"/>
    <s v="Below"/>
    <s v="No Bonus"/>
    <s v="No"/>
    <s v="No"/>
    <m/>
    <m/>
    <m/>
    <m/>
    <m/>
    <m/>
  </r>
  <r>
    <d v="2023-01-17T00:00:00"/>
    <x v="2"/>
    <s v="Salt and Sugar"/>
    <n v="75"/>
    <x v="2"/>
    <s v="Below"/>
    <s v="No Bonus"/>
    <s v="No"/>
    <s v="Yes"/>
    <m/>
    <m/>
    <m/>
    <m/>
    <m/>
    <m/>
  </r>
  <r>
    <d v="2023-01-31T00:00:00"/>
    <x v="2"/>
    <s v="Dairy"/>
    <n v="150"/>
    <x v="1"/>
    <s v="Below"/>
    <s v="No Bonus"/>
    <s v="No"/>
    <s v="No"/>
    <m/>
    <m/>
    <m/>
    <m/>
    <m/>
    <m/>
  </r>
  <r>
    <d v="2023-01-11T00:00:00"/>
    <x v="2"/>
    <s v="Chocolate"/>
    <n v="170"/>
    <x v="1"/>
    <s v="Below"/>
    <s v="No Bonus"/>
    <s v="No"/>
    <s v="No"/>
    <m/>
    <m/>
    <m/>
    <m/>
    <m/>
    <m/>
  </r>
  <r>
    <d v="2023-01-14T00:00:00"/>
    <x v="2"/>
    <s v="Zomato"/>
    <n v="460"/>
    <x v="0"/>
    <s v="Below"/>
    <s v="No Bonus"/>
    <s v="No"/>
    <s v="No"/>
    <m/>
    <m/>
    <m/>
    <m/>
    <m/>
    <m/>
  </r>
  <r>
    <d v="2023-01-25T00:00:00"/>
    <x v="2"/>
    <s v="Zomato"/>
    <n v="657"/>
    <x v="1"/>
    <s v="Above"/>
    <s v="No Bonus"/>
    <s v="No"/>
    <s v="No"/>
    <m/>
    <m/>
    <m/>
    <m/>
    <m/>
    <m/>
  </r>
  <r>
    <d v="2023-01-28T00:00:00"/>
    <x v="2"/>
    <s v="Cylinder"/>
    <n v="1074"/>
    <x v="0"/>
    <s v="Above"/>
    <s v="Bonus"/>
    <s v="No"/>
    <s v="Yes"/>
    <m/>
    <m/>
    <m/>
    <m/>
    <m/>
    <m/>
  </r>
  <r>
    <d v="2023-01-18T00:00:00"/>
    <x v="3"/>
    <s v="Dairy"/>
    <n v="150"/>
    <x v="0"/>
    <s v="Below"/>
    <s v="No Bonus"/>
    <s v="No"/>
    <s v="No"/>
    <m/>
    <m/>
    <m/>
    <m/>
    <m/>
    <m/>
  </r>
  <r>
    <d v="2023-01-22T00:00:00"/>
    <x v="3"/>
    <s v="Grocery"/>
    <n v="150"/>
    <x v="2"/>
    <s v="Below"/>
    <s v="No Bonus"/>
    <s v="No"/>
    <s v="Yes"/>
    <m/>
    <m/>
    <m/>
    <m/>
    <m/>
    <m/>
  </r>
  <r>
    <d v="2023-01-05T00:00:00"/>
    <x v="3"/>
    <s v="Dairy"/>
    <n v="150"/>
    <x v="1"/>
    <s v="Below"/>
    <s v="No Bonus"/>
    <s v="No"/>
    <s v="No"/>
    <m/>
    <m/>
    <m/>
    <m/>
    <m/>
    <m/>
  </r>
  <r>
    <d v="2023-01-26T00:00:00"/>
    <x v="3"/>
    <s v="Fruits and Veggies"/>
    <n v="400"/>
    <x v="1"/>
    <s v="Below"/>
    <s v="No Bonus"/>
    <s v="No"/>
    <s v="No"/>
    <m/>
    <m/>
    <m/>
    <m/>
    <m/>
    <m/>
  </r>
  <r>
    <d v="2023-01-12T00:00:00"/>
    <x v="3"/>
    <s v="Zomato"/>
    <n v="450"/>
    <x v="2"/>
    <s v="Below"/>
    <s v="No Bonus"/>
    <s v="No"/>
    <s v="Yes"/>
    <m/>
    <m/>
    <m/>
    <m/>
    <m/>
    <m/>
  </r>
  <r>
    <d v="2023-01-01T00:00:00"/>
    <x v="3"/>
    <s v="Zomato"/>
    <n v="890"/>
    <x v="1"/>
    <s v="Above"/>
    <s v="No Bonus"/>
    <s v="No"/>
    <s v="No"/>
    <m/>
    <m/>
    <m/>
    <m/>
    <m/>
    <m/>
  </r>
  <r>
    <d v="2023-01-09T00:00:00"/>
    <x v="3"/>
    <s v="Grocery"/>
    <n v="1050"/>
    <x v="0"/>
    <s v="Above"/>
    <s v="Bonus"/>
    <s v="No"/>
    <s v="No"/>
    <m/>
    <m/>
    <m/>
    <m/>
    <m/>
    <m/>
  </r>
  <r>
    <d v="2023-01-15T00:00:00"/>
    <x v="3"/>
    <s v="Cylinder"/>
    <n v="1074"/>
    <x v="1"/>
    <s v="Above"/>
    <s v="Bonus"/>
    <s v="No"/>
    <s v="Yes"/>
    <m/>
    <m/>
    <m/>
    <m/>
    <m/>
    <m/>
  </r>
  <r>
    <d v="2023-01-29T00:00:00"/>
    <x v="3"/>
    <s v="Dress"/>
    <n v="3000"/>
    <x v="0"/>
    <s v="Above"/>
    <s v="Bonus"/>
    <s v="No"/>
    <s v="No"/>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9A1D87-71A4-41AA-A2FD-194604F113D0}" name="PivotTable1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5">
    <pivotField numFmtId="14" showAll="0"/>
    <pivotField axis="axisRow" showAll="0">
      <items count="5">
        <item x="0"/>
        <item x="1"/>
        <item x="2"/>
        <item x="3"/>
        <item t="default"/>
      </items>
    </pivotField>
    <pivotField showAll="0"/>
    <pivotField dataField="1" numFmtId="164"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Amount" fld="3" baseField="0" baseItem="0" numFmtId="164"/>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42269C5-5365-4331-8DF0-AAE133B099E6}" sourceName="Payment Mode">
  <pivotTables>
    <pivotTable tabId="8" name="PivotTable12"/>
  </pivotTables>
  <data>
    <tabular pivotCacheId="173362959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B9A0332-F12D-4611-AD7A-2C5673AF01F2}" cache="Slicer_Payment_Mode" caption="Payment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FA6736-1804-4F2E-99FD-20450419192D}" name="Table2" displayName="Table2" ref="B3:P34" totalsRowShown="0" headerRowDxfId="55">
  <autoFilter ref="B3:P34" xr:uid="{4EFA6736-1804-4F2E-99FD-20450419192D}"/>
  <sortState xmlns:xlrd2="http://schemas.microsoft.com/office/spreadsheetml/2017/richdata2" ref="B4:F34">
    <sortCondition ref="C4:C34"/>
    <sortCondition ref="E4:E34"/>
  </sortState>
  <tableColumns count="15">
    <tableColumn id="1" xr3:uid="{5C369A63-0EA0-414B-B4B9-C039B8DB1BAD}" name="Date" dataDxfId="54"/>
    <tableColumn id="2" xr3:uid="{0C7B9416-6C58-4CA4-83BD-4AF8C3378538}" name="Category" dataDxfId="53"/>
    <tableColumn id="3" xr3:uid="{BE038997-1595-42E3-A412-0748FD412B0B}" name="Sub-Category" dataDxfId="52"/>
    <tableColumn id="4" xr3:uid="{A3556D18-BF21-4391-B533-1A2EAF7E1606}" name="Amount" dataDxfId="51" dataCellStyle="Percent"/>
    <tableColumn id="5" xr3:uid="{3C8BC57F-42DF-46F1-B048-7C6C77B79501}" name="Payment Mode" dataDxfId="50"/>
    <tableColumn id="7" xr3:uid="{5BA9F06B-31D2-4E99-82EE-D4980C14EA08}" name="Condition" dataDxfId="49">
      <calculatedColumnFormula>IF(Table2[[#This Row],[Amount]]&gt;500, "Above", "Below")</calculatedColumnFormula>
    </tableColumn>
    <tableColumn id="8" xr3:uid="{270F4790-3632-47B5-8313-083EF412986B}" name="If" dataDxfId="48">
      <calculatedColumnFormula>IF(Table2[[#This Row],[Amount]]&gt;1000, "Bonus", "No Bonus")</calculatedColumnFormula>
    </tableColumn>
    <tableColumn id="9" xr3:uid="{335EF8C9-292B-488F-9F50-5AEA33189B64}" name="And" dataDxfId="47">
      <calculatedColumnFormula>IF(AND(Table2[[#This Row],[Sub-Category]]="Cylinder", Table2[[#This Row],[Payment Mode]]="Card"),"Cylinder Booked", "No")</calculatedColumnFormula>
    </tableColumn>
    <tableColumn id="10" xr3:uid="{84D0379A-2EA5-4DC2-9761-CC0486745787}" name="Or" dataDxfId="46">
      <calculatedColumnFormula>IF(OR(Table2[[#This Row],[Sub-Category]]="Cylinder", Table2[[#This Row],[Payment Mode]]="Card"),"Yes", "No")</calculatedColumnFormula>
    </tableColumn>
    <tableColumn id="11" xr3:uid="{C4277606-8C28-4249-8F59-5FB189CE39C4}" name="Sum" dataDxfId="45">
      <calculatedColumnFormula>SUM(Table2[[#This Row],[Amount]],E5,E6,E7,E8,E9,E10,E11,E12)</calculatedColumnFormula>
    </tableColumn>
    <tableColumn id="12" xr3:uid="{790AAB49-1251-4E60-8750-6B48C1790BB0}" name="Sumif" dataDxfId="44"/>
    <tableColumn id="13" xr3:uid="{79FC578A-E9B4-4F2C-9579-89569A93BD13}" name="Sumifs" dataDxfId="43"/>
    <tableColumn id="14" xr3:uid="{332BFFC6-E2A7-44EB-8FD7-5F624CFB9605}" name="Count" dataDxfId="42"/>
    <tableColumn id="15" xr3:uid="{E7A57F95-F1AC-488F-8074-84C558AF5F7E}" name="Countif" dataDxfId="41"/>
    <tableColumn id="16" xr3:uid="{54A003E9-1623-49EA-B840-98D806227C59}" name="Countifs" dataDxfId="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8B7547-FEB6-4C6E-82F2-4F95676E1F3F}" name="Table5" displayName="Table5" ref="A37:L39" totalsRowShown="0" headerRowDxfId="39">
  <autoFilter ref="A37:L39" xr:uid="{938B7547-FEB6-4C6E-82F2-4F95676E1F3F}"/>
  <tableColumns count="12">
    <tableColumn id="1" xr3:uid="{A18FE63F-6429-4F4F-A159-637F3742D090}" name="hours" dataDxfId="38">
      <calculatedColumnFormula>HOUR(C38)</calculatedColumnFormula>
    </tableColumn>
    <tableColumn id="2" xr3:uid="{CB5B3A8D-F569-43FE-A3C2-2FA99167C203}" name="todey"/>
    <tableColumn id="3" xr3:uid="{55C7B8B2-D48D-49F4-BCCE-56A2F605FA6C}" name="now"/>
    <tableColumn id="4" xr3:uid="{A147056D-4BD8-4F2C-B871-E5EC2FDC7F02}" name="day" dataDxfId="37"/>
    <tableColumn id="5" xr3:uid="{6A090830-2F0B-4BC9-8892-E1889DACFC9F}" name="month" dataDxfId="36"/>
    <tableColumn id="6" xr3:uid="{0D3A2E64-4E60-427A-BBC6-C9ED1B749446}" name="year" dataDxfId="35"/>
    <tableColumn id="7" xr3:uid="{E682D33A-2679-406B-8FAA-237751816E1F}" name="date">
      <calculatedColumnFormula>DATE(F38,E38,D38)</calculatedColumnFormula>
    </tableColumn>
    <tableColumn id="8" xr3:uid="{EAB8650F-C848-4F77-927B-38202B51DA32}" name="minutes"/>
    <tableColumn id="9" xr3:uid="{D657D65E-43EB-476E-B84A-809487455D65}" name="seconds"/>
    <tableColumn id="10" xr3:uid="{1320F6AE-1BC1-46A6-BF6C-31EE08048647}" name="date + 13 days"/>
    <tableColumn id="11" xr3:uid="{4B37D17A-C185-4971-8A12-D6BD9CA95F09}" name="date + 3 months"/>
    <tableColumn id="12" xr3:uid="{54BB3AEB-AE5C-4010-9CC3-90D6389799A8}" name="date + 3 yea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DF2368-D4DE-4A71-A57C-A2800840B53B}" name="Table1" displayName="Table1" ref="D42:D44" totalsRowCount="1" headerRowDxfId="34" dataDxfId="33" totalsRowDxfId="32">
  <autoFilter ref="D42:D43" xr:uid="{8FDF2368-D4DE-4A71-A57C-A2800840B53B}"/>
  <tableColumns count="1">
    <tableColumn id="1" xr3:uid="{C84F219C-353E-4EED-AC5D-87C9384767B1}" name="XLOOKUP" totalsRowFunction="custom" dataDxfId="31" totalsRowDxfId="30">
      <calculatedColumnFormula>_xlfn.XLOOKUP(D14,Table2[Sub-Category],Table2[Payment Mode])</calculatedColumnFormula>
      <totalsRowFormula>_xlfn.XLOOKUP(C43,Table2[Sub-Category],Table2[Amount])</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67BBB-1A0D-4626-900C-B2C8E3C2DA42}">
  <dimension ref="A1:P45"/>
  <sheetViews>
    <sheetView tabSelected="1" workbookViewId="0">
      <selection sqref="A1:H1"/>
    </sheetView>
  </sheetViews>
  <sheetFormatPr defaultRowHeight="14.4" x14ac:dyDescent="0.3"/>
  <cols>
    <col min="1" max="1" width="10.44140625" customWidth="1"/>
    <col min="2" max="2" width="13.5546875" style="2" customWidth="1"/>
    <col min="3" max="3" width="13.88671875" style="2" customWidth="1"/>
    <col min="4" max="4" width="16.21875" style="2" customWidth="1"/>
    <col min="5" max="5" width="15.109375" style="2" customWidth="1"/>
    <col min="6" max="6" width="17.109375" style="2" customWidth="1"/>
    <col min="7" max="7" width="12.44140625" bestFit="1" customWidth="1"/>
    <col min="8" max="8" width="9.88671875" customWidth="1"/>
    <col min="9" max="9" width="14.21875" customWidth="1"/>
    <col min="10" max="10" width="14.88671875" customWidth="1"/>
    <col min="11" max="11" width="10" customWidth="1"/>
    <col min="12" max="12" width="14.44140625" customWidth="1"/>
  </cols>
  <sheetData>
    <row r="1" spans="1:16" ht="43.8" customHeight="1" x14ac:dyDescent="0.3">
      <c r="A1" s="12" t="s">
        <v>23</v>
      </c>
      <c r="B1" s="12"/>
      <c r="C1" s="12"/>
      <c r="D1" s="12"/>
      <c r="E1" s="12"/>
      <c r="F1" s="12"/>
      <c r="G1" s="12"/>
      <c r="H1" s="12"/>
    </row>
    <row r="3" spans="1:16" s="3" customFormat="1" ht="15.6" x14ac:dyDescent="0.3">
      <c r="B3" s="4" t="s">
        <v>0</v>
      </c>
      <c r="C3" s="4" t="s">
        <v>1</v>
      </c>
      <c r="D3" s="4" t="s">
        <v>2</v>
      </c>
      <c r="E3" s="6" t="s">
        <v>3</v>
      </c>
      <c r="F3" s="4" t="s">
        <v>4</v>
      </c>
      <c r="G3" s="3" t="s">
        <v>28</v>
      </c>
      <c r="H3" s="3" t="s">
        <v>29</v>
      </c>
      <c r="I3" s="3" t="s">
        <v>31</v>
      </c>
      <c r="J3" s="3" t="s">
        <v>30</v>
      </c>
      <c r="K3" s="3" t="s">
        <v>44</v>
      </c>
      <c r="L3" s="3" t="s">
        <v>46</v>
      </c>
      <c r="M3" s="3" t="s">
        <v>45</v>
      </c>
      <c r="N3" s="3" t="s">
        <v>47</v>
      </c>
      <c r="O3" s="3" t="s">
        <v>48</v>
      </c>
      <c r="P3" s="3" t="s">
        <v>49</v>
      </c>
    </row>
    <row r="4" spans="1:16" x14ac:dyDescent="0.3">
      <c r="B4" s="5">
        <v>44949</v>
      </c>
      <c r="C4" s="2" t="s">
        <v>8</v>
      </c>
      <c r="D4" s="2" t="s">
        <v>20</v>
      </c>
      <c r="E4" s="8">
        <v>45</v>
      </c>
      <c r="F4" s="2" t="s">
        <v>13</v>
      </c>
      <c r="G4" s="2" t="str">
        <f>IF(Table2[[#This Row],[Amount]]&gt;500, "Above", "Below")</f>
        <v>Below</v>
      </c>
      <c r="H4" s="2" t="str">
        <f>IF(Table2[[#This Row],[Amount]]&gt;1000, "Bonus", "No Bonus")</f>
        <v>No Bonus</v>
      </c>
      <c r="I4" s="2" t="str">
        <f>IF(AND(Table2[[#This Row],[Sub-Category]]="Cylinder", Table2[[#This Row],[Payment Mode]]="Card"),"Cylinder Booked", "No")</f>
        <v>No</v>
      </c>
      <c r="J4" s="2" t="str">
        <f>IF(OR(Table2[[#This Row],[Sub-Category]]="Cylinder", Table2[[#This Row],[Payment Mode]]="Card"),"Yes", "No")</f>
        <v>No</v>
      </c>
      <c r="K4" s="11">
        <f>SUM(Table2[Amount])</f>
        <v>24580</v>
      </c>
      <c r="L4" s="2">
        <f>SUMIF(Table2[Payment Mode],"Cash",Table2[Amount])</f>
        <v>10394</v>
      </c>
      <c r="M4" s="2">
        <f>SUMIFS(Table2[Amount],Table2[Payment Mode],"Card",Table2[Sub-Category],"Salt and Sugar")</f>
        <v>75</v>
      </c>
      <c r="N4" s="2">
        <f>COUNT(Table2[Amount])</f>
        <v>31</v>
      </c>
      <c r="O4" s="2">
        <f>COUNTIF(Table2[Sub-Category],"Zomato")</f>
        <v>5</v>
      </c>
      <c r="P4" s="2">
        <f>COUNTIFS(Table2[Payment Mode],"UPI",Table2[Category],"Food")</f>
        <v>4</v>
      </c>
    </row>
    <row r="5" spans="1:16" x14ac:dyDescent="0.3">
      <c r="B5" s="5">
        <v>44936</v>
      </c>
      <c r="C5" s="2" t="s">
        <v>8</v>
      </c>
      <c r="D5" s="2" t="s">
        <v>20</v>
      </c>
      <c r="E5" s="8">
        <v>60</v>
      </c>
      <c r="F5" s="2" t="s">
        <v>7</v>
      </c>
      <c r="G5" s="2" t="str">
        <f>IF(Table2[[#This Row],[Amount]]&gt;500, "Above", "Below")</f>
        <v>Below</v>
      </c>
      <c r="H5" s="2" t="str">
        <f>IF(Table2[[#This Row],[Amount]]&gt;1000, "Bonus", "No Bonus")</f>
        <v>No Bonus</v>
      </c>
      <c r="I5" s="2" t="str">
        <f>IF(AND(Table2[[#This Row],[Sub-Category]]="Cylinder", Table2[[#This Row],[Payment Mode]]="Card"),"Cylinder Booked", "No")</f>
        <v>No</v>
      </c>
      <c r="J5" s="2" t="str">
        <f>IF(OR(Table2[[#This Row],[Sub-Category]]="Cylinder", Table2[[#This Row],[Payment Mode]]="Card"),"Yes", "No")</f>
        <v>No</v>
      </c>
      <c r="K5" s="7"/>
      <c r="L5" s="2"/>
      <c r="M5" s="2"/>
      <c r="N5" s="2"/>
      <c r="O5" s="2"/>
      <c r="P5" s="2"/>
    </row>
    <row r="6" spans="1:16" x14ac:dyDescent="0.3">
      <c r="B6" s="5">
        <v>44932</v>
      </c>
      <c r="C6" s="2" t="s">
        <v>8</v>
      </c>
      <c r="D6" s="2" t="s">
        <v>17</v>
      </c>
      <c r="E6" s="8">
        <v>180</v>
      </c>
      <c r="F6" s="2" t="s">
        <v>7</v>
      </c>
      <c r="G6" s="2" t="str">
        <f>IF(Table2[[#This Row],[Amount]]&gt;500, "Above", "Below")</f>
        <v>Below</v>
      </c>
      <c r="H6" s="2" t="str">
        <f>IF(Table2[[#This Row],[Amount]]&gt;1000, "Bonus", "No Bonus")</f>
        <v>No Bonus</v>
      </c>
      <c r="I6" s="2" t="str">
        <f>IF(AND(Table2[[#This Row],[Sub-Category]]="Cylinder", Table2[[#This Row],[Payment Mode]]="Card"),"Cylinder Booked", "No")</f>
        <v>No</v>
      </c>
      <c r="J6" s="2" t="str">
        <f>IF(OR(Table2[[#This Row],[Sub-Category]]="Cylinder", Table2[[#This Row],[Payment Mode]]="Card"),"Yes", "No")</f>
        <v>No</v>
      </c>
      <c r="K6" s="7"/>
      <c r="L6" s="2"/>
      <c r="M6" s="2"/>
      <c r="N6" s="2"/>
      <c r="O6" s="2"/>
      <c r="P6" s="2"/>
    </row>
    <row r="7" spans="1:16" x14ac:dyDescent="0.3">
      <c r="B7" s="5">
        <v>44939</v>
      </c>
      <c r="C7" s="2" t="s">
        <v>8</v>
      </c>
      <c r="D7" s="2" t="s">
        <v>22</v>
      </c>
      <c r="E7" s="8">
        <v>200</v>
      </c>
      <c r="F7" s="2" t="s">
        <v>13</v>
      </c>
      <c r="G7" s="2" t="str">
        <f>IF(Table2[[#This Row],[Amount]]&gt;500, "Above", "Below")</f>
        <v>Below</v>
      </c>
      <c r="H7" s="2" t="str">
        <f>IF(Table2[[#This Row],[Amount]]&gt;1000, "Bonus", "No Bonus")</f>
        <v>No Bonus</v>
      </c>
      <c r="I7" s="2" t="str">
        <f>IF(AND(Table2[[#This Row],[Sub-Category]]="Cylinder", Table2[[#This Row],[Payment Mode]]="Card"),"Cylinder Booked", "No")</f>
        <v>No</v>
      </c>
      <c r="J7" s="2" t="str">
        <f>IF(OR(Table2[[#This Row],[Sub-Category]]="Cylinder", Table2[[#This Row],[Payment Mode]]="Card"),"Yes", "No")</f>
        <v>No</v>
      </c>
      <c r="K7" s="7"/>
      <c r="L7" s="2"/>
      <c r="M7" s="2"/>
      <c r="N7" s="2"/>
      <c r="O7" s="2"/>
      <c r="P7" s="2"/>
    </row>
    <row r="8" spans="1:16" x14ac:dyDescent="0.3">
      <c r="B8" s="5">
        <v>44953</v>
      </c>
      <c r="C8" s="2" t="s">
        <v>8</v>
      </c>
      <c r="D8" s="2" t="s">
        <v>6</v>
      </c>
      <c r="E8" s="8">
        <v>456</v>
      </c>
      <c r="F8" s="2" t="s">
        <v>10</v>
      </c>
      <c r="G8" s="2" t="str">
        <f>IF(Table2[[#This Row],[Amount]]&gt;500, "Above", "Below")</f>
        <v>Below</v>
      </c>
      <c r="H8" s="2" t="str">
        <f>IF(Table2[[#This Row],[Amount]]&gt;1000, "Bonus", "No Bonus")</f>
        <v>No Bonus</v>
      </c>
      <c r="I8" s="2" t="str">
        <f>IF(AND(Table2[[#This Row],[Sub-Category]]="Cylinder", Table2[[#This Row],[Payment Mode]]="Card"),"Cylinder Booked", "No")</f>
        <v>No</v>
      </c>
      <c r="J8" s="2" t="str">
        <f>IF(OR(Table2[[#This Row],[Sub-Category]]="Cylinder", Table2[[#This Row],[Payment Mode]]="Card"),"Yes", "No")</f>
        <v>Yes</v>
      </c>
      <c r="K8" s="7"/>
      <c r="L8" s="2"/>
      <c r="M8" s="2"/>
      <c r="N8" s="2"/>
      <c r="O8" s="2"/>
      <c r="P8" s="2"/>
    </row>
    <row r="9" spans="1:16" x14ac:dyDescent="0.3">
      <c r="B9" s="5">
        <v>44945</v>
      </c>
      <c r="C9" s="2" t="s">
        <v>8</v>
      </c>
      <c r="D9" s="2" t="s">
        <v>17</v>
      </c>
      <c r="E9" s="8">
        <v>750</v>
      </c>
      <c r="F9" s="2" t="s">
        <v>13</v>
      </c>
      <c r="G9" s="2" t="str">
        <f>IF(Table2[[#This Row],[Amount]]&gt;500, "Above", "Below")</f>
        <v>Above</v>
      </c>
      <c r="H9" s="2" t="str">
        <f>IF(Table2[[#This Row],[Amount]]&gt;1000, "Bonus", "No Bonus")</f>
        <v>No Bonus</v>
      </c>
      <c r="I9" s="2" t="str">
        <f>IF(AND(Table2[[#This Row],[Sub-Category]]="Cylinder", Table2[[#This Row],[Payment Mode]]="Card"),"Cylinder Booked", "No")</f>
        <v>No</v>
      </c>
      <c r="J9" s="2" t="str">
        <f>IF(OR(Table2[[#This Row],[Sub-Category]]="Cylinder", Table2[[#This Row],[Payment Mode]]="Card"),"Yes", "No")</f>
        <v>No</v>
      </c>
      <c r="K9" s="7"/>
      <c r="L9" s="2"/>
      <c r="M9" s="2"/>
      <c r="N9" s="2"/>
      <c r="O9" s="2"/>
      <c r="P9" s="2"/>
    </row>
    <row r="10" spans="1:16" x14ac:dyDescent="0.3">
      <c r="B10" s="5">
        <v>44956</v>
      </c>
      <c r="C10" s="2" t="s">
        <v>8</v>
      </c>
      <c r="D10" s="2" t="s">
        <v>15</v>
      </c>
      <c r="E10" s="8">
        <v>780</v>
      </c>
      <c r="F10" s="2" t="s">
        <v>7</v>
      </c>
      <c r="G10" s="2" t="str">
        <f>IF(Table2[[#This Row],[Amount]]&gt;500, "Above", "Below")</f>
        <v>Above</v>
      </c>
      <c r="H10" s="2" t="str">
        <f>IF(Table2[[#This Row],[Amount]]&gt;1000, "Bonus", "No Bonus")</f>
        <v>No Bonus</v>
      </c>
      <c r="I10" s="2" t="str">
        <f>IF(AND(Table2[[#This Row],[Sub-Category]]="Cylinder", Table2[[#This Row],[Payment Mode]]="Card"),"Cylinder Booked", "No")</f>
        <v>No</v>
      </c>
      <c r="J10" s="2" t="str">
        <f>IF(OR(Table2[[#This Row],[Sub-Category]]="Cylinder", Table2[[#This Row],[Payment Mode]]="Card"),"Yes", "No")</f>
        <v>No</v>
      </c>
      <c r="K10" s="7"/>
      <c r="L10" s="2"/>
      <c r="M10" s="2"/>
      <c r="N10" s="2"/>
      <c r="O10" s="2"/>
      <c r="P10" s="2"/>
    </row>
    <row r="11" spans="1:16" x14ac:dyDescent="0.3">
      <c r="B11" s="5">
        <v>44928</v>
      </c>
      <c r="C11" s="2" t="s">
        <v>8</v>
      </c>
      <c r="D11" s="2" t="s">
        <v>9</v>
      </c>
      <c r="E11" s="8">
        <v>1074</v>
      </c>
      <c r="F11" s="2" t="s">
        <v>10</v>
      </c>
      <c r="G11" s="2" t="str">
        <f>IF(Table2[[#This Row],[Amount]]&gt;500, "Above", "Below")</f>
        <v>Above</v>
      </c>
      <c r="H11" s="2" t="str">
        <f>IF(Table2[[#This Row],[Amount]]&gt;1000, "Bonus", "No Bonus")</f>
        <v>Bonus</v>
      </c>
      <c r="I11" s="2" t="str">
        <f>IF(AND(Table2[[#This Row],[Sub-Category]]="Cylinder", Table2[[#This Row],[Payment Mode]]="Card"),"Cylinder Booked", "No")</f>
        <v>Cylinder Booked</v>
      </c>
      <c r="J11" s="2" t="str">
        <f>IF(OR(Table2[[#This Row],[Sub-Category]]="Cylinder", Table2[[#This Row],[Payment Mode]]="Card"),"Yes", "No")</f>
        <v>Yes</v>
      </c>
      <c r="K11" s="7"/>
      <c r="L11" s="2"/>
      <c r="M11" s="2"/>
      <c r="N11" s="2"/>
      <c r="O11" s="2"/>
      <c r="P11" s="2"/>
    </row>
    <row r="12" spans="1:16" x14ac:dyDescent="0.3">
      <c r="B12" s="5">
        <v>44942</v>
      </c>
      <c r="C12" s="2" t="s">
        <v>8</v>
      </c>
      <c r="D12" s="2" t="s">
        <v>27</v>
      </c>
      <c r="E12" s="8">
        <v>5000</v>
      </c>
      <c r="F12" s="2" t="s">
        <v>7</v>
      </c>
      <c r="G12" s="2" t="str">
        <f>IF(Table2[[#This Row],[Amount]]&gt;500, "Above", "Below")</f>
        <v>Above</v>
      </c>
      <c r="H12" s="2" t="str">
        <f>IF(Table2[[#This Row],[Amount]]&gt;1000, "Bonus", "No Bonus")</f>
        <v>Bonus</v>
      </c>
      <c r="I12" s="2" t="str">
        <f>IF(AND(Table2[[#This Row],[Sub-Category]]="Cylinder", Table2[[#This Row],[Payment Mode]]="Card"),"Cylinder Booked", "No")</f>
        <v>No</v>
      </c>
      <c r="J12" s="2" t="str">
        <f>IF(OR(Table2[[#This Row],[Sub-Category]]="Cylinder", Table2[[#This Row],[Payment Mode]]="Card"),"Yes", "No")</f>
        <v>No</v>
      </c>
      <c r="K12" s="7"/>
      <c r="L12" s="2"/>
      <c r="M12" s="2"/>
      <c r="N12" s="2"/>
      <c r="O12" s="2"/>
      <c r="P12" s="2"/>
    </row>
    <row r="13" spans="1:16" x14ac:dyDescent="0.3">
      <c r="B13" s="5">
        <v>44946</v>
      </c>
      <c r="C13" s="2" t="s">
        <v>11</v>
      </c>
      <c r="D13" s="2" t="s">
        <v>25</v>
      </c>
      <c r="E13" s="8">
        <v>750</v>
      </c>
      <c r="F13" s="2" t="s">
        <v>7</v>
      </c>
      <c r="G13" s="2" t="str">
        <f>IF(Table2[[#This Row],[Amount]]&gt;500, "Above", "Below")</f>
        <v>Above</v>
      </c>
      <c r="H13" s="2" t="str">
        <f>IF(Table2[[#This Row],[Amount]]&gt;1000, "Bonus", "No Bonus")</f>
        <v>No Bonus</v>
      </c>
      <c r="I13" s="2" t="str">
        <f>IF(AND(Table2[[#This Row],[Sub-Category]]="Cylinder", Table2[[#This Row],[Payment Mode]]="Card"),"Cylinder Booked", "No")</f>
        <v>No</v>
      </c>
      <c r="J13" s="2" t="str">
        <f>IF(OR(Table2[[#This Row],[Sub-Category]]="Cylinder", Table2[[#This Row],[Payment Mode]]="Card"),"Yes", "No")</f>
        <v>No</v>
      </c>
      <c r="K13" s="7"/>
      <c r="L13" s="2"/>
      <c r="M13" s="2"/>
      <c r="N13" s="2"/>
      <c r="O13" s="2"/>
      <c r="P13" s="2"/>
    </row>
    <row r="14" spans="1:16" x14ac:dyDescent="0.3">
      <c r="B14" s="5">
        <v>44950</v>
      </c>
      <c r="C14" s="2" t="s">
        <v>11</v>
      </c>
      <c r="D14" s="2" t="s">
        <v>24</v>
      </c>
      <c r="E14" s="8">
        <v>1550</v>
      </c>
      <c r="F14" s="2" t="s">
        <v>13</v>
      </c>
      <c r="G14" s="2" t="str">
        <f>IF(Table2[[#This Row],[Amount]]&gt;500, "Above", "Below")</f>
        <v>Above</v>
      </c>
      <c r="H14" s="2" t="str">
        <f>IF(Table2[[#This Row],[Amount]]&gt;1000, "Bonus", "No Bonus")</f>
        <v>Bonus</v>
      </c>
      <c r="I14" s="2" t="str">
        <f>IF(AND(Table2[[#This Row],[Sub-Category]]="Cylinder", Table2[[#This Row],[Payment Mode]]="Card"),"Cylinder Booked", "No")</f>
        <v>No</v>
      </c>
      <c r="J14" s="2" t="str">
        <f>IF(OR(Table2[[#This Row],[Sub-Category]]="Cylinder", Table2[[#This Row],[Payment Mode]]="Card"),"Yes", "No")</f>
        <v>No</v>
      </c>
      <c r="K14" s="7"/>
      <c r="L14" s="2"/>
      <c r="M14" s="2"/>
      <c r="N14" s="2"/>
      <c r="O14" s="2"/>
      <c r="P14" s="2"/>
    </row>
    <row r="15" spans="1:16" x14ac:dyDescent="0.3">
      <c r="B15" s="5">
        <v>44933</v>
      </c>
      <c r="C15" s="2" t="s">
        <v>11</v>
      </c>
      <c r="D15" s="2" t="s">
        <v>26</v>
      </c>
      <c r="E15" s="8">
        <v>1700</v>
      </c>
      <c r="F15" s="2" t="s">
        <v>10</v>
      </c>
      <c r="G15" s="2" t="str">
        <f>IF(Table2[[#This Row],[Amount]]&gt;500, "Above", "Below")</f>
        <v>Above</v>
      </c>
      <c r="H15" s="2" t="str">
        <f>IF(Table2[[#This Row],[Amount]]&gt;1000, "Bonus", "No Bonus")</f>
        <v>Bonus</v>
      </c>
      <c r="I15" s="2" t="str">
        <f>IF(AND(Table2[[#This Row],[Sub-Category]]="Cylinder", Table2[[#This Row],[Payment Mode]]="Card"),"Cylinder Booked", "No")</f>
        <v>No</v>
      </c>
      <c r="J15" s="2" t="str">
        <f>IF(OR(Table2[[#This Row],[Sub-Category]]="Cylinder", Table2[[#This Row],[Payment Mode]]="Card"),"Yes", "No")</f>
        <v>Yes</v>
      </c>
      <c r="K15" s="7"/>
      <c r="L15" s="2"/>
      <c r="M15" s="2"/>
      <c r="N15" s="2"/>
      <c r="O15" s="2"/>
      <c r="P15" s="2"/>
    </row>
    <row r="16" spans="1:16" x14ac:dyDescent="0.3">
      <c r="B16" s="5">
        <v>44929</v>
      </c>
      <c r="C16" s="2" t="s">
        <v>11</v>
      </c>
      <c r="D16" s="2" t="s">
        <v>12</v>
      </c>
      <c r="E16" s="8">
        <v>2000</v>
      </c>
      <c r="F16" s="2" t="s">
        <v>13</v>
      </c>
      <c r="G16" s="2" t="str">
        <f>IF(Table2[[#This Row],[Amount]]&gt;500, "Above", "Below")</f>
        <v>Above</v>
      </c>
      <c r="H16" s="2" t="str">
        <f>IF(Table2[[#This Row],[Amount]]&gt;1000, "Bonus", "No Bonus")</f>
        <v>Bonus</v>
      </c>
      <c r="I16" s="2" t="str">
        <f>IF(AND(Table2[[#This Row],[Sub-Category]]="Cylinder", Table2[[#This Row],[Payment Mode]]="Card"),"Cylinder Booked", "No")</f>
        <v>No</v>
      </c>
      <c r="J16" s="2" t="str">
        <f>IF(OR(Table2[[#This Row],[Sub-Category]]="Cylinder", Table2[[#This Row],[Payment Mode]]="Card"),"Yes", "No")</f>
        <v>No</v>
      </c>
      <c r="K16" s="7"/>
      <c r="L16" s="2"/>
      <c r="M16" s="2"/>
      <c r="N16" s="2"/>
      <c r="O16" s="2"/>
      <c r="P16" s="2"/>
    </row>
    <row r="17" spans="2:16" x14ac:dyDescent="0.3">
      <c r="B17" s="5">
        <v>44947</v>
      </c>
      <c r="C17" s="2" t="s">
        <v>14</v>
      </c>
      <c r="D17" s="2" t="s">
        <v>18</v>
      </c>
      <c r="E17" s="8">
        <v>20</v>
      </c>
      <c r="F17" s="2" t="s">
        <v>7</v>
      </c>
      <c r="G17" s="2" t="str">
        <f>IF(Table2[[#This Row],[Amount]]&gt;500, "Above", "Below")</f>
        <v>Below</v>
      </c>
      <c r="H17" s="2" t="str">
        <f>IF(Table2[[#This Row],[Amount]]&gt;1000, "Bonus", "No Bonus")</f>
        <v>No Bonus</v>
      </c>
      <c r="I17" s="2" t="str">
        <f>IF(AND(Table2[[#This Row],[Sub-Category]]="Cylinder", Table2[[#This Row],[Payment Mode]]="Card"),"Cylinder Booked", "No")</f>
        <v>No</v>
      </c>
      <c r="J17" s="2" t="str">
        <f>IF(OR(Table2[[#This Row],[Sub-Category]]="Cylinder", Table2[[#This Row],[Payment Mode]]="Card"),"Yes", "No")</f>
        <v>No</v>
      </c>
      <c r="K17" s="7"/>
      <c r="L17" s="2"/>
      <c r="M17" s="2"/>
      <c r="N17" s="2"/>
      <c r="O17" s="2"/>
      <c r="P17" s="2"/>
    </row>
    <row r="18" spans="2:16" x14ac:dyDescent="0.3">
      <c r="B18" s="5">
        <v>44934</v>
      </c>
      <c r="C18" s="2" t="s">
        <v>14</v>
      </c>
      <c r="D18" s="2" t="s">
        <v>18</v>
      </c>
      <c r="E18" s="8">
        <v>40</v>
      </c>
      <c r="F18" s="2" t="s">
        <v>13</v>
      </c>
      <c r="G18" s="2" t="str">
        <f>IF(Table2[[#This Row],[Amount]]&gt;500, "Above", "Below")</f>
        <v>Below</v>
      </c>
      <c r="H18" s="2" t="str">
        <f>IF(Table2[[#This Row],[Amount]]&gt;1000, "Bonus", "No Bonus")</f>
        <v>No Bonus</v>
      </c>
      <c r="I18" s="2" t="str">
        <f>IF(AND(Table2[[#This Row],[Sub-Category]]="Cylinder", Table2[[#This Row],[Payment Mode]]="Card"),"Cylinder Booked", "No")</f>
        <v>No</v>
      </c>
      <c r="J18" s="2" t="str">
        <f>IF(OR(Table2[[#This Row],[Sub-Category]]="Cylinder", Table2[[#This Row],[Payment Mode]]="Card"),"Yes", "No")</f>
        <v>No</v>
      </c>
      <c r="K18" s="7"/>
      <c r="L18" s="2"/>
      <c r="M18" s="2"/>
      <c r="N18" s="2"/>
      <c r="O18" s="2"/>
      <c r="P18" s="2"/>
    </row>
    <row r="19" spans="2:16" x14ac:dyDescent="0.3">
      <c r="B19" s="5">
        <v>44930</v>
      </c>
      <c r="C19" s="2" t="s">
        <v>14</v>
      </c>
      <c r="D19" s="2" t="s">
        <v>15</v>
      </c>
      <c r="E19" s="8">
        <v>75</v>
      </c>
      <c r="F19" s="2" t="s">
        <v>13</v>
      </c>
      <c r="G19" s="2" t="str">
        <f>IF(Table2[[#This Row],[Amount]]&gt;500, "Above", "Below")</f>
        <v>Below</v>
      </c>
      <c r="H19" s="2" t="str">
        <f>IF(Table2[[#This Row],[Amount]]&gt;1000, "Bonus", "No Bonus")</f>
        <v>No Bonus</v>
      </c>
      <c r="I19" s="2" t="str">
        <f>IF(AND(Table2[[#This Row],[Sub-Category]]="Cylinder", Table2[[#This Row],[Payment Mode]]="Card"),"Cylinder Booked", "No")</f>
        <v>No</v>
      </c>
      <c r="J19" s="2" t="str">
        <f>IF(OR(Table2[[#This Row],[Sub-Category]]="Cylinder", Table2[[#This Row],[Payment Mode]]="Card"),"Yes", "No")</f>
        <v>No</v>
      </c>
      <c r="K19" s="7"/>
      <c r="L19" s="2"/>
      <c r="M19" s="2"/>
      <c r="N19" s="2"/>
      <c r="O19" s="2"/>
      <c r="P19" s="2"/>
    </row>
    <row r="20" spans="2:16" x14ac:dyDescent="0.3">
      <c r="B20" s="5">
        <v>44943</v>
      </c>
      <c r="C20" s="2" t="s">
        <v>14</v>
      </c>
      <c r="D20" s="2" t="s">
        <v>15</v>
      </c>
      <c r="E20" s="8">
        <v>75</v>
      </c>
      <c r="F20" s="2" t="s">
        <v>10</v>
      </c>
      <c r="G20" s="2" t="str">
        <f>IF(Table2[[#This Row],[Amount]]&gt;500, "Above", "Below")</f>
        <v>Below</v>
      </c>
      <c r="H20" s="2" t="str">
        <f>IF(Table2[[#This Row],[Amount]]&gt;1000, "Bonus", "No Bonus")</f>
        <v>No Bonus</v>
      </c>
      <c r="I20" s="2" t="str">
        <f>IF(AND(Table2[[#This Row],[Sub-Category]]="Cylinder", Table2[[#This Row],[Payment Mode]]="Card"),"Cylinder Booked", "No")</f>
        <v>No</v>
      </c>
      <c r="J20" s="2" t="str">
        <f>IF(OR(Table2[[#This Row],[Sub-Category]]="Cylinder", Table2[[#This Row],[Payment Mode]]="Card"),"Yes", "No")</f>
        <v>Yes</v>
      </c>
      <c r="K20" s="7"/>
      <c r="L20" s="2"/>
      <c r="M20" s="2"/>
      <c r="N20" s="2"/>
      <c r="O20" s="2"/>
      <c r="P20" s="2"/>
    </row>
    <row r="21" spans="2:16" x14ac:dyDescent="0.3">
      <c r="B21" s="5">
        <v>44957</v>
      </c>
      <c r="C21" s="2" t="s">
        <v>14</v>
      </c>
      <c r="D21" s="2" t="s">
        <v>16</v>
      </c>
      <c r="E21" s="8">
        <v>150</v>
      </c>
      <c r="F21" s="2" t="s">
        <v>7</v>
      </c>
      <c r="G21" s="2" t="str">
        <f>IF(Table2[[#This Row],[Amount]]&gt;500, "Above", "Below")</f>
        <v>Below</v>
      </c>
      <c r="H21" s="2" t="str">
        <f>IF(Table2[[#This Row],[Amount]]&gt;1000, "Bonus", "No Bonus")</f>
        <v>No Bonus</v>
      </c>
      <c r="I21" s="2" t="str">
        <f>IF(AND(Table2[[#This Row],[Sub-Category]]="Cylinder", Table2[[#This Row],[Payment Mode]]="Card"),"Cylinder Booked", "No")</f>
        <v>No</v>
      </c>
      <c r="J21" s="2" t="str">
        <f>IF(OR(Table2[[#This Row],[Sub-Category]]="Cylinder", Table2[[#This Row],[Payment Mode]]="Card"),"Yes", "No")</f>
        <v>No</v>
      </c>
      <c r="K21" s="7"/>
      <c r="L21" s="2"/>
      <c r="M21" s="2"/>
      <c r="N21" s="2"/>
      <c r="O21" s="2"/>
      <c r="P21" s="2"/>
    </row>
    <row r="22" spans="2:16" x14ac:dyDescent="0.3">
      <c r="B22" s="5">
        <v>44937</v>
      </c>
      <c r="C22" s="2" t="s">
        <v>14</v>
      </c>
      <c r="D22" s="2" t="s">
        <v>21</v>
      </c>
      <c r="E22" s="8">
        <v>170</v>
      </c>
      <c r="F22" s="2" t="s">
        <v>7</v>
      </c>
      <c r="G22" s="2" t="str">
        <f>IF(Table2[[#This Row],[Amount]]&gt;500, "Above", "Below")</f>
        <v>Below</v>
      </c>
      <c r="H22" s="2" t="str">
        <f>IF(Table2[[#This Row],[Amount]]&gt;1000, "Bonus", "No Bonus")</f>
        <v>No Bonus</v>
      </c>
      <c r="I22" s="2" t="str">
        <f>IF(AND(Table2[[#This Row],[Sub-Category]]="Cylinder", Table2[[#This Row],[Payment Mode]]="Card"),"Cylinder Booked", "No")</f>
        <v>No</v>
      </c>
      <c r="J22" s="2" t="str">
        <f>IF(OR(Table2[[#This Row],[Sub-Category]]="Cylinder", Table2[[#This Row],[Payment Mode]]="Card"),"Yes", "No")</f>
        <v>No</v>
      </c>
      <c r="K22" s="7"/>
      <c r="L22" s="2"/>
      <c r="M22" s="2"/>
      <c r="N22" s="2"/>
      <c r="O22" s="2"/>
      <c r="P22" s="2"/>
    </row>
    <row r="23" spans="2:16" x14ac:dyDescent="0.3">
      <c r="B23" s="5">
        <v>44940</v>
      </c>
      <c r="C23" s="2" t="s">
        <v>14</v>
      </c>
      <c r="D23" s="2" t="s">
        <v>6</v>
      </c>
      <c r="E23" s="8">
        <v>460</v>
      </c>
      <c r="F23" s="2" t="s">
        <v>13</v>
      </c>
      <c r="G23" s="2" t="str">
        <f>IF(Table2[[#This Row],[Amount]]&gt;500, "Above", "Below")</f>
        <v>Below</v>
      </c>
      <c r="H23" s="2" t="str">
        <f>IF(Table2[[#This Row],[Amount]]&gt;1000, "Bonus", "No Bonus")</f>
        <v>No Bonus</v>
      </c>
      <c r="I23" s="2" t="str">
        <f>IF(AND(Table2[[#This Row],[Sub-Category]]="Cylinder", Table2[[#This Row],[Payment Mode]]="Card"),"Cylinder Booked", "No")</f>
        <v>No</v>
      </c>
      <c r="J23" s="2" t="str">
        <f>IF(OR(Table2[[#This Row],[Sub-Category]]="Cylinder", Table2[[#This Row],[Payment Mode]]="Card"),"Yes", "No")</f>
        <v>No</v>
      </c>
      <c r="K23" s="7"/>
      <c r="L23" s="2"/>
      <c r="M23" s="2"/>
      <c r="N23" s="2"/>
      <c r="O23" s="2"/>
      <c r="P23" s="2"/>
    </row>
    <row r="24" spans="2:16" x14ac:dyDescent="0.3">
      <c r="B24" s="5">
        <v>44951</v>
      </c>
      <c r="C24" s="2" t="s">
        <v>14</v>
      </c>
      <c r="D24" s="2" t="s">
        <v>6</v>
      </c>
      <c r="E24" s="8">
        <v>657</v>
      </c>
      <c r="F24" s="2" t="s">
        <v>7</v>
      </c>
      <c r="G24" s="2" t="str">
        <f>IF(Table2[[#This Row],[Amount]]&gt;500, "Above", "Below")</f>
        <v>Above</v>
      </c>
      <c r="H24" s="2" t="str">
        <f>IF(Table2[[#This Row],[Amount]]&gt;1000, "Bonus", "No Bonus")</f>
        <v>No Bonus</v>
      </c>
      <c r="I24" s="2" t="str">
        <f>IF(AND(Table2[[#This Row],[Sub-Category]]="Cylinder", Table2[[#This Row],[Payment Mode]]="Card"),"Cylinder Booked", "No")</f>
        <v>No</v>
      </c>
      <c r="J24" s="2" t="str">
        <f>IF(OR(Table2[[#This Row],[Sub-Category]]="Cylinder", Table2[[#This Row],[Payment Mode]]="Card"),"Yes", "No")</f>
        <v>No</v>
      </c>
      <c r="K24" s="7"/>
      <c r="L24" s="2"/>
      <c r="M24" s="2"/>
      <c r="N24" s="2"/>
      <c r="O24" s="2"/>
      <c r="P24" s="2"/>
    </row>
    <row r="25" spans="2:16" x14ac:dyDescent="0.3">
      <c r="B25" s="5">
        <v>44954</v>
      </c>
      <c r="C25" s="2" t="s">
        <v>14</v>
      </c>
      <c r="D25" s="2" t="s">
        <v>9</v>
      </c>
      <c r="E25" s="8">
        <v>1074</v>
      </c>
      <c r="F25" s="2" t="s">
        <v>13</v>
      </c>
      <c r="G25" s="2" t="str">
        <f>IF(Table2[[#This Row],[Amount]]&gt;500, "Above", "Below")</f>
        <v>Above</v>
      </c>
      <c r="H25" s="2" t="str">
        <f>IF(Table2[[#This Row],[Amount]]&gt;1000, "Bonus", "No Bonus")</f>
        <v>Bonus</v>
      </c>
      <c r="I25" s="2" t="str">
        <f>IF(AND(Table2[[#This Row],[Sub-Category]]="Cylinder", Table2[[#This Row],[Payment Mode]]="Card"),"Cylinder Booked", "No")</f>
        <v>No</v>
      </c>
      <c r="J25" s="2" t="str">
        <f>IF(OR(Table2[[#This Row],[Sub-Category]]="Cylinder", Table2[[#This Row],[Payment Mode]]="Card"),"Yes", "No")</f>
        <v>Yes</v>
      </c>
      <c r="K25" s="7"/>
      <c r="L25" s="2"/>
      <c r="M25" s="2"/>
      <c r="N25" s="2"/>
      <c r="O25" s="2"/>
      <c r="P25" s="2"/>
    </row>
    <row r="26" spans="2:16" x14ac:dyDescent="0.3">
      <c r="B26" s="5">
        <v>44944</v>
      </c>
      <c r="C26" s="2" t="s">
        <v>5</v>
      </c>
      <c r="D26" s="2" t="s">
        <v>16</v>
      </c>
      <c r="E26" s="8">
        <v>150</v>
      </c>
      <c r="F26" s="2" t="s">
        <v>13</v>
      </c>
      <c r="G26" s="2" t="str">
        <f>IF(Table2[[#This Row],[Amount]]&gt;500, "Above", "Below")</f>
        <v>Below</v>
      </c>
      <c r="H26" s="2" t="str">
        <f>IF(Table2[[#This Row],[Amount]]&gt;1000, "Bonus", "No Bonus")</f>
        <v>No Bonus</v>
      </c>
      <c r="I26" s="2" t="str">
        <f>IF(AND(Table2[[#This Row],[Sub-Category]]="Cylinder", Table2[[#This Row],[Payment Mode]]="Card"),"Cylinder Booked", "No")</f>
        <v>No</v>
      </c>
      <c r="J26" s="2" t="str">
        <f>IF(OR(Table2[[#This Row],[Sub-Category]]="Cylinder", Table2[[#This Row],[Payment Mode]]="Card"),"Yes", "No")</f>
        <v>No</v>
      </c>
      <c r="K26" s="7"/>
      <c r="L26" s="2"/>
      <c r="M26" s="2"/>
      <c r="N26" s="2"/>
      <c r="O26" s="2"/>
      <c r="P26" s="2"/>
    </row>
    <row r="27" spans="2:16" x14ac:dyDescent="0.3">
      <c r="B27" s="5">
        <v>44948</v>
      </c>
      <c r="C27" s="2" t="s">
        <v>5</v>
      </c>
      <c r="D27" s="2" t="s">
        <v>19</v>
      </c>
      <c r="E27" s="8">
        <v>150</v>
      </c>
      <c r="F27" s="2" t="s">
        <v>10</v>
      </c>
      <c r="G27" s="2" t="str">
        <f>IF(Table2[[#This Row],[Amount]]&gt;500, "Above", "Below")</f>
        <v>Below</v>
      </c>
      <c r="H27" s="2" t="str">
        <f>IF(Table2[[#This Row],[Amount]]&gt;1000, "Bonus", "No Bonus")</f>
        <v>No Bonus</v>
      </c>
      <c r="I27" s="2" t="str">
        <f>IF(AND(Table2[[#This Row],[Sub-Category]]="Cylinder", Table2[[#This Row],[Payment Mode]]="Card"),"Cylinder Booked", "No")</f>
        <v>No</v>
      </c>
      <c r="J27" s="2" t="str">
        <f>IF(OR(Table2[[#This Row],[Sub-Category]]="Cylinder", Table2[[#This Row],[Payment Mode]]="Card"),"Yes", "No")</f>
        <v>Yes</v>
      </c>
      <c r="K27" s="7"/>
      <c r="L27" s="2"/>
      <c r="M27" s="2"/>
      <c r="N27" s="2"/>
      <c r="O27" s="2"/>
      <c r="P27" s="2"/>
    </row>
    <row r="28" spans="2:16" x14ac:dyDescent="0.3">
      <c r="B28" s="5">
        <v>44931</v>
      </c>
      <c r="C28" s="2" t="s">
        <v>5</v>
      </c>
      <c r="D28" s="2" t="s">
        <v>16</v>
      </c>
      <c r="E28" s="8">
        <v>150</v>
      </c>
      <c r="F28" s="2" t="s">
        <v>7</v>
      </c>
      <c r="G28" s="2" t="str">
        <f>IF(Table2[[#This Row],[Amount]]&gt;500, "Above", "Below")</f>
        <v>Below</v>
      </c>
      <c r="H28" s="2" t="str">
        <f>IF(Table2[[#This Row],[Amount]]&gt;1000, "Bonus", "No Bonus")</f>
        <v>No Bonus</v>
      </c>
      <c r="I28" s="2" t="str">
        <f>IF(AND(Table2[[#This Row],[Sub-Category]]="Cylinder", Table2[[#This Row],[Payment Mode]]="Card"),"Cylinder Booked", "No")</f>
        <v>No</v>
      </c>
      <c r="J28" s="2" t="str">
        <f>IF(OR(Table2[[#This Row],[Sub-Category]]="Cylinder", Table2[[#This Row],[Payment Mode]]="Card"),"Yes", "No")</f>
        <v>No</v>
      </c>
      <c r="K28" s="7"/>
      <c r="L28" s="2"/>
      <c r="M28" s="2"/>
      <c r="N28" s="2"/>
      <c r="O28" s="2"/>
      <c r="P28" s="2"/>
    </row>
    <row r="29" spans="2:16" x14ac:dyDescent="0.3">
      <c r="B29" s="5">
        <v>44952</v>
      </c>
      <c r="C29" s="2" t="s">
        <v>5</v>
      </c>
      <c r="D29" s="2" t="s">
        <v>22</v>
      </c>
      <c r="E29" s="8">
        <v>400</v>
      </c>
      <c r="F29" s="2" t="s">
        <v>7</v>
      </c>
      <c r="G29" s="2" t="str">
        <f>IF(Table2[[#This Row],[Amount]]&gt;500, "Above", "Below")</f>
        <v>Below</v>
      </c>
      <c r="H29" s="2" t="str">
        <f>IF(Table2[[#This Row],[Amount]]&gt;1000, "Bonus", "No Bonus")</f>
        <v>No Bonus</v>
      </c>
      <c r="I29" s="2" t="str">
        <f>IF(AND(Table2[[#This Row],[Sub-Category]]="Cylinder", Table2[[#This Row],[Payment Mode]]="Card"),"Cylinder Booked", "No")</f>
        <v>No</v>
      </c>
      <c r="J29" s="2" t="str">
        <f>IF(OR(Table2[[#This Row],[Sub-Category]]="Cylinder", Table2[[#This Row],[Payment Mode]]="Card"),"Yes", "No")</f>
        <v>No</v>
      </c>
      <c r="K29" s="7"/>
      <c r="L29" s="2"/>
      <c r="M29" s="2"/>
      <c r="N29" s="2"/>
      <c r="O29" s="2"/>
      <c r="P29" s="2"/>
    </row>
    <row r="30" spans="2:16" x14ac:dyDescent="0.3">
      <c r="B30" s="5">
        <v>44938</v>
      </c>
      <c r="C30" s="2" t="s">
        <v>5</v>
      </c>
      <c r="D30" s="2" t="s">
        <v>6</v>
      </c>
      <c r="E30" s="8">
        <v>450</v>
      </c>
      <c r="F30" s="2" t="s">
        <v>10</v>
      </c>
      <c r="G30" s="2" t="str">
        <f>IF(Table2[[#This Row],[Amount]]&gt;500, "Above", "Below")</f>
        <v>Below</v>
      </c>
      <c r="H30" s="2" t="str">
        <f>IF(Table2[[#This Row],[Amount]]&gt;1000, "Bonus", "No Bonus")</f>
        <v>No Bonus</v>
      </c>
      <c r="I30" s="2" t="str">
        <f>IF(AND(Table2[[#This Row],[Sub-Category]]="Cylinder", Table2[[#This Row],[Payment Mode]]="Card"),"Cylinder Booked", "No")</f>
        <v>No</v>
      </c>
      <c r="J30" s="2" t="str">
        <f>IF(OR(Table2[[#This Row],[Sub-Category]]="Cylinder", Table2[[#This Row],[Payment Mode]]="Card"),"Yes", "No")</f>
        <v>Yes</v>
      </c>
      <c r="K30" s="7"/>
      <c r="L30" s="2"/>
      <c r="M30" s="2"/>
      <c r="N30" s="2"/>
      <c r="O30" s="2"/>
      <c r="P30" s="2"/>
    </row>
    <row r="31" spans="2:16" x14ac:dyDescent="0.3">
      <c r="B31" s="5">
        <v>44927</v>
      </c>
      <c r="C31" s="2" t="s">
        <v>5</v>
      </c>
      <c r="D31" s="2" t="s">
        <v>6</v>
      </c>
      <c r="E31" s="8">
        <v>890</v>
      </c>
      <c r="F31" s="2" t="s">
        <v>7</v>
      </c>
      <c r="G31" s="2" t="str">
        <f>IF(Table2[[#This Row],[Amount]]&gt;500, "Above", "Below")</f>
        <v>Above</v>
      </c>
      <c r="H31" s="2" t="str">
        <f>IF(Table2[[#This Row],[Amount]]&gt;1000, "Bonus", "No Bonus")</f>
        <v>No Bonus</v>
      </c>
      <c r="I31" s="2" t="str">
        <f>IF(AND(Table2[[#This Row],[Sub-Category]]="Cylinder", Table2[[#This Row],[Payment Mode]]="Card"),"Cylinder Booked", "No")</f>
        <v>No</v>
      </c>
      <c r="J31" s="2" t="str">
        <f>IF(OR(Table2[[#This Row],[Sub-Category]]="Cylinder", Table2[[#This Row],[Payment Mode]]="Card"),"Yes", "No")</f>
        <v>No</v>
      </c>
      <c r="K31" s="7"/>
      <c r="L31" s="2"/>
      <c r="M31" s="2"/>
      <c r="N31" s="2"/>
      <c r="O31" s="2"/>
      <c r="P31" s="2"/>
    </row>
    <row r="32" spans="2:16" x14ac:dyDescent="0.3">
      <c r="B32" s="5">
        <v>44935</v>
      </c>
      <c r="C32" s="2" t="s">
        <v>5</v>
      </c>
      <c r="D32" s="2" t="s">
        <v>19</v>
      </c>
      <c r="E32" s="8">
        <v>1050</v>
      </c>
      <c r="F32" s="2" t="s">
        <v>13</v>
      </c>
      <c r="G32" s="2" t="str">
        <f>IF(Table2[[#This Row],[Amount]]&gt;500, "Above", "Below")</f>
        <v>Above</v>
      </c>
      <c r="H32" s="2" t="str">
        <f>IF(Table2[[#This Row],[Amount]]&gt;1000, "Bonus", "No Bonus")</f>
        <v>Bonus</v>
      </c>
      <c r="I32" s="2" t="str">
        <f>IF(AND(Table2[[#This Row],[Sub-Category]]="Cylinder", Table2[[#This Row],[Payment Mode]]="Card"),"Cylinder Booked", "No")</f>
        <v>No</v>
      </c>
      <c r="J32" s="2" t="str">
        <f>IF(OR(Table2[[#This Row],[Sub-Category]]="Cylinder", Table2[[#This Row],[Payment Mode]]="Card"),"Yes", "No")</f>
        <v>No</v>
      </c>
      <c r="K32" s="7"/>
      <c r="L32" s="2"/>
      <c r="M32" s="2"/>
      <c r="N32" s="2"/>
      <c r="O32" s="2"/>
      <c r="P32" s="2"/>
    </row>
    <row r="33" spans="1:16" x14ac:dyDescent="0.3">
      <c r="B33" s="5">
        <v>44941</v>
      </c>
      <c r="C33" s="2" t="s">
        <v>5</v>
      </c>
      <c r="D33" s="2" t="s">
        <v>9</v>
      </c>
      <c r="E33" s="8">
        <v>1074</v>
      </c>
      <c r="F33" s="2" t="s">
        <v>7</v>
      </c>
      <c r="G33" s="2" t="str">
        <f>IF(Table2[[#This Row],[Amount]]&gt;500, "Above", "Below")</f>
        <v>Above</v>
      </c>
      <c r="H33" s="2" t="str">
        <f>IF(Table2[[#This Row],[Amount]]&gt;1000, "Bonus", "No Bonus")</f>
        <v>Bonus</v>
      </c>
      <c r="I33" s="2" t="str">
        <f>IF(AND(Table2[[#This Row],[Sub-Category]]="Cylinder", Table2[[#This Row],[Payment Mode]]="Card"),"Cylinder Booked", "No")</f>
        <v>No</v>
      </c>
      <c r="J33" s="2" t="str">
        <f>IF(OR(Table2[[#This Row],[Sub-Category]]="Cylinder", Table2[[#This Row],[Payment Mode]]="Card"),"Yes", "No")</f>
        <v>Yes</v>
      </c>
      <c r="K33" s="7"/>
      <c r="L33" s="2"/>
      <c r="M33" s="2"/>
      <c r="N33" s="2"/>
      <c r="O33" s="2"/>
      <c r="P33" s="2"/>
    </row>
    <row r="34" spans="1:16" x14ac:dyDescent="0.3">
      <c r="B34" s="5">
        <v>44955</v>
      </c>
      <c r="C34" s="2" t="s">
        <v>5</v>
      </c>
      <c r="D34" s="2" t="s">
        <v>12</v>
      </c>
      <c r="E34" s="8">
        <v>3000</v>
      </c>
      <c r="F34" s="2" t="s">
        <v>13</v>
      </c>
      <c r="G34" s="2" t="str">
        <f>IF(Table2[[#This Row],[Amount]]&gt;500, "Above", "Below")</f>
        <v>Above</v>
      </c>
      <c r="H34" s="2" t="str">
        <f>IF(Table2[[#This Row],[Amount]]&gt;1000, "Bonus", "No Bonus")</f>
        <v>Bonus</v>
      </c>
      <c r="I34" s="2" t="str">
        <f>IF(AND(Table2[[#This Row],[Sub-Category]]="Cylinder", Table2[[#This Row],[Payment Mode]]="Card"),"Cylinder Booked", "No")</f>
        <v>No</v>
      </c>
      <c r="J34" s="2" t="str">
        <f>IF(OR(Table2[[#This Row],[Sub-Category]]="Cylinder", Table2[[#This Row],[Payment Mode]]="Card"),"Yes", "No")</f>
        <v>No</v>
      </c>
      <c r="K34" s="7"/>
      <c r="L34" s="2"/>
      <c r="M34" s="2"/>
      <c r="N34" s="2"/>
      <c r="O34" s="2"/>
      <c r="P34" s="2"/>
    </row>
    <row r="37" spans="1:16" x14ac:dyDescent="0.3">
      <c r="A37" t="s">
        <v>38</v>
      </c>
      <c r="B37" s="2" t="s">
        <v>34</v>
      </c>
      <c r="C37" s="2" t="s">
        <v>35</v>
      </c>
      <c r="D37" s="2" t="s">
        <v>33</v>
      </c>
      <c r="E37" s="2" t="s">
        <v>36</v>
      </c>
      <c r="F37" s="2" t="s">
        <v>37</v>
      </c>
      <c r="G37" s="2" t="s">
        <v>32</v>
      </c>
      <c r="H37" s="2" t="s">
        <v>40</v>
      </c>
      <c r="I37" s="2" t="s">
        <v>39</v>
      </c>
      <c r="J37" s="2" t="s">
        <v>43</v>
      </c>
      <c r="K37" t="s">
        <v>41</v>
      </c>
      <c r="L37" t="s">
        <v>42</v>
      </c>
    </row>
    <row r="38" spans="1:16" x14ac:dyDescent="0.3">
      <c r="A38">
        <f t="shared" ref="A38" ca="1" si="0">HOUR(C38)</f>
        <v>19</v>
      </c>
      <c r="B38" s="5">
        <f ca="1">TODAY()</f>
        <v>46084</v>
      </c>
      <c r="C38" s="9">
        <f ca="1">NOW()</f>
        <v>46084.824228472222</v>
      </c>
      <c r="D38" s="2">
        <f ca="1">DAY(C38)</f>
        <v>3</v>
      </c>
      <c r="E38" s="2">
        <f ca="1">MONTH(C38)</f>
        <v>3</v>
      </c>
      <c r="F38" s="2">
        <f ca="1">YEAR(C38)</f>
        <v>2026</v>
      </c>
      <c r="H38">
        <f ca="1">MINUTE(C38)</f>
        <v>46</v>
      </c>
      <c r="I38">
        <f ca="1">SECOND(C38)</f>
        <v>53</v>
      </c>
      <c r="J38" s="10">
        <f ca="1">C38+13</f>
        <v>46097.824228472222</v>
      </c>
      <c r="K38" s="1">
        <f ca="1">EDATE(B38,3)</f>
        <v>46176</v>
      </c>
      <c r="L38" s="1">
        <f ca="1">EDATE(C38,(12*3))</f>
        <v>47180</v>
      </c>
    </row>
    <row r="39" spans="1:16" x14ac:dyDescent="0.3">
      <c r="D39" s="2">
        <v>28</v>
      </c>
      <c r="E39" s="2">
        <v>2</v>
      </c>
      <c r="F39" s="2">
        <v>2026</v>
      </c>
      <c r="G39" s="1">
        <f>DATE(F39,E39,D39)</f>
        <v>46081</v>
      </c>
    </row>
    <row r="42" spans="1:16" x14ac:dyDescent="0.3">
      <c r="D42" s="2" t="s">
        <v>50</v>
      </c>
    </row>
    <row r="43" spans="1:16" x14ac:dyDescent="0.3">
      <c r="C43" s="2" t="s">
        <v>24</v>
      </c>
      <c r="D43" s="2" t="str">
        <f>_xlfn.XLOOKUP(D14,Table2[Sub-Category],Table2[Payment Mode])</f>
        <v>Cash</v>
      </c>
    </row>
    <row r="44" spans="1:16" x14ac:dyDescent="0.3">
      <c r="D44" s="13">
        <f>_xlfn.XLOOKUP(C43,Table2[Sub-Category],Table2[Amount])</f>
        <v>1550</v>
      </c>
    </row>
    <row r="45" spans="1:16" x14ac:dyDescent="0.3">
      <c r="D45" s="2" t="str">
        <f>_xlfn.XLOOKUP(C43,Table2[Sub-Category],Table2[If])</f>
        <v>Bonus</v>
      </c>
    </row>
  </sheetData>
  <dataConsolidate/>
  <mergeCells count="1">
    <mergeCell ref="A1:H1"/>
  </mergeCells>
  <conditionalFormatting sqref="C3:C34">
    <cfRule type="containsText" dxfId="19" priority="15" operator="containsText" text="Clothes">
      <formula>NOT(ISERROR(SEARCH("Clothes",C3)))</formula>
    </cfRule>
    <cfRule type="containsText" dxfId="18" priority="17" operator="containsText" text="Food">
      <formula>NOT(ISERROR(SEARCH("Food",C3)))</formula>
    </cfRule>
  </conditionalFormatting>
  <conditionalFormatting sqref="E3:E34">
    <cfRule type="dataBar" priority="14">
      <dataBar>
        <cfvo type="min"/>
        <cfvo type="max"/>
        <color rgb="FFD6007B"/>
      </dataBar>
      <extLst>
        <ext xmlns:x14="http://schemas.microsoft.com/office/spreadsheetml/2009/9/main" uri="{B025F937-C7B1-47D3-B67F-A62EFF666E3E}">
          <x14:id>{091D4DDD-E82F-48F7-BAF1-1C350A347571}</x14:id>
        </ext>
      </extLst>
    </cfRule>
  </conditionalFormatting>
  <conditionalFormatting sqref="E4:E34">
    <cfRule type="cellIs" dxfId="16" priority="13" operator="greaterThan">
      <formula>1000</formula>
    </cfRule>
  </conditionalFormatting>
  <conditionalFormatting sqref="F4:F34">
    <cfRule type="containsText" dxfId="15" priority="11" operator="containsText" text="Cash">
      <formula>NOT(ISERROR(SEARCH("Cash",F4)))</formula>
    </cfRule>
    <cfRule type="containsText" dxfId="14" priority="12" operator="containsText" text="UPI">
      <formula>NOT(ISERROR(SEARCH("UPI",F4)))</formula>
    </cfRule>
  </conditionalFormatting>
  <conditionalFormatting sqref="H3">
    <cfRule type="containsText" dxfId="13" priority="7" operator="containsText" text="Bonus">
      <formula>NOT(ISERROR(SEARCH("Bonus",H3)))</formula>
    </cfRule>
  </conditionalFormatting>
  <conditionalFormatting sqref="H4:H34">
    <cfRule type="containsText" dxfId="12" priority="6" operator="containsText" text="No">
      <formula>NOT(ISERROR(SEARCH("No",H4)))</formula>
    </cfRule>
  </conditionalFormatting>
  <conditionalFormatting sqref="J4:J34">
    <cfRule type="containsText" dxfId="11" priority="10" operator="containsText" text="Yes">
      <formula>NOT(ISERROR(SEARCH("Yes",J4)))</formula>
    </cfRule>
  </conditionalFormatting>
  <conditionalFormatting sqref="G4:G34">
    <cfRule type="containsText" dxfId="0" priority="1" operator="containsText" text="Above">
      <formula>NOT(ISERROR(SEARCH("Above",G4)))</formula>
    </cfRule>
  </conditionalFormatting>
  <dataValidations count="2">
    <dataValidation type="date" allowBlank="1" showInputMessage="1" showErrorMessage="1" errorTitle="Invalid Date" error="Date should be between 01/01/2023 to 01/31/2023" sqref="B4:B34" xr:uid="{6FBB89EB-4CCA-460F-9109-5FC04B181A21}">
      <formula1>44927</formula1>
      <formula2>44957</formula2>
    </dataValidation>
    <dataValidation type="list" allowBlank="1" showInputMessage="1" showErrorMessage="1" sqref="F4:F34" xr:uid="{94E881BE-A0F3-4E6A-BFBD-064CF2272012}">
      <formula1>"UPI, Card, Cash"</formula1>
    </dataValidation>
  </dataValidations>
  <pageMargins left="0.7" right="0.7" top="0.75" bottom="0.75" header="0.3" footer="0.3"/>
  <drawing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D7743D73-2ABE-4ED5-94AF-7EB557A85511}">
            <xm:f>NOT(ISERROR(SEARCH($D$8,D4)))</xm:f>
            <xm:f>$D$8</xm:f>
            <x14:dxf>
              <font>
                <color rgb="FF9C5700"/>
              </font>
              <fill>
                <patternFill>
                  <bgColor rgb="FFFFEB9C"/>
                </patternFill>
              </fill>
            </x14:dxf>
          </x14:cfRule>
          <xm:sqref>D4:D34</xm:sqref>
        </x14:conditionalFormatting>
        <x14:conditionalFormatting xmlns:xm="http://schemas.microsoft.com/office/excel/2006/main">
          <x14:cfRule type="dataBar" id="{091D4DDD-E82F-48F7-BAF1-1C350A347571}">
            <x14:dataBar minLength="0" maxLength="100" border="1" negativeBarBorderColorSameAsPositive="0">
              <x14:cfvo type="autoMin"/>
              <x14:cfvo type="autoMax"/>
              <x14:borderColor rgb="FFD6007B"/>
              <x14:negativeFillColor rgb="FFFF0000"/>
              <x14:negativeBorderColor rgb="FFFF0000"/>
              <x14:axisColor rgb="FF000000"/>
            </x14:dataBar>
          </x14:cfRule>
          <xm:sqref>E3:E34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773E6-B0C8-4E89-B73E-F321D41AC8ED}">
  <dimension ref="A3:B8"/>
  <sheetViews>
    <sheetView workbookViewId="0"/>
  </sheetViews>
  <sheetFormatPr defaultRowHeight="14.4" x14ac:dyDescent="0.3"/>
  <cols>
    <col min="1" max="1" width="12.5546875" bestFit="1" customWidth="1"/>
    <col min="2" max="2" width="14.44140625" bestFit="1" customWidth="1"/>
  </cols>
  <sheetData>
    <row r="3" spans="1:2" x14ac:dyDescent="0.3">
      <c r="A3" s="14" t="s">
        <v>51</v>
      </c>
      <c r="B3" t="s">
        <v>53</v>
      </c>
    </row>
    <row r="4" spans="1:2" x14ac:dyDescent="0.3">
      <c r="A4" s="15" t="s">
        <v>8</v>
      </c>
      <c r="B4" s="16">
        <v>8545</v>
      </c>
    </row>
    <row r="5" spans="1:2" x14ac:dyDescent="0.3">
      <c r="A5" s="15" t="s">
        <v>11</v>
      </c>
      <c r="B5" s="16">
        <v>6000</v>
      </c>
    </row>
    <row r="6" spans="1:2" x14ac:dyDescent="0.3">
      <c r="A6" s="15" t="s">
        <v>14</v>
      </c>
      <c r="B6" s="16">
        <v>2721</v>
      </c>
    </row>
    <row r="7" spans="1:2" x14ac:dyDescent="0.3">
      <c r="A7" s="15" t="s">
        <v>5</v>
      </c>
      <c r="B7" s="16">
        <v>7314</v>
      </c>
    </row>
    <row r="8" spans="1:2" x14ac:dyDescent="0.3">
      <c r="A8" s="15" t="s">
        <v>52</v>
      </c>
      <c r="B8" s="16">
        <v>24580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Katiyar</dc:creator>
  <cp:lastModifiedBy>Shubham Katiyar</cp:lastModifiedBy>
  <dcterms:created xsi:type="dcterms:W3CDTF">2026-03-02T10:17:02Z</dcterms:created>
  <dcterms:modified xsi:type="dcterms:W3CDTF">2026-03-03T17:30:00Z</dcterms:modified>
</cp:coreProperties>
</file>